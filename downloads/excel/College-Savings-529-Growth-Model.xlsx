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<sst xmlns="http://schemas.openxmlformats.org/spreadsheetml/2006/main" count="31" uniqueCount="30">
  <si>
    <t>COLLEGE TUITION 529 PLAN SAVINGS &amp; COMPOUND GROWTH MODEL</t>
  </si>
  <si>
    <t>BizTools Executive Financial &amp; Operations Engine • Automated Dynamic Formulas</t>
  </si>
  <si>
    <t>Current 529 Balance</t>
  </si>
  <si>
    <t>Annual Contributions</t>
  </si>
  <si>
    <t>Projected College Fund</t>
  </si>
  <si>
    <t>Overall Funding Goal</t>
  </si>
  <si>
    <t>Beneficiary Child</t>
  </si>
  <si>
    <t>Target College Year</t>
  </si>
  <si>
    <t>Years to College</t>
  </si>
  <si>
    <t>Starting Balance</t>
  </si>
  <si>
    <t>Monthly Savings</t>
  </si>
  <si>
    <t>Est. Annual Return</t>
  </si>
  <si>
    <t>Projected At Age 18</t>
  </si>
  <si>
    <t>Est. 4-Yr Degree Cost</t>
  </si>
  <si>
    <t>Child 1 - Sophia</t>
  </si>
  <si>
    <t>Child 2 - Lucas</t>
  </si>
  <si>
    <t>Child 3 - Emma</t>
  </si>
  <si>
    <t>Nephew 1 - Noah</t>
  </si>
  <si>
    <t>Nephew 2 - Liam</t>
  </si>
  <si>
    <t>Niece - Olivia</t>
  </si>
  <si>
    <t>Family Trust Child A</t>
  </si>
  <si>
    <t>Family Trust Child B</t>
  </si>
  <si>
    <t>Family Trust Child C</t>
  </si>
  <si>
    <t>Scholarship Fund 1</t>
  </si>
  <si>
    <t>Scholarship Fund 2</t>
  </si>
  <si>
    <t>Scholarship Fund 3</t>
  </si>
  <si>
    <t>STEM Endowment A</t>
  </si>
  <si>
    <t>Medical Scholar B</t>
  </si>
  <si>
    <t>PORTFOLIO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</si>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</sst>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right" vertical="center"/>
    </xf>
    <xf numFmtId="165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right" vertical="center"/>
    </xf>
    <xf numFmtId="165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2" width="17" customWidth="1"/>
    <col min="3" max="3" width="15" customWidth="1"/>
    <col min="4" max="4" width="17" customWidth="1"/>
    <col min="5" max="6" width="16" customWidth="1"/>
    <col min="7" max="8" width="19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SUM(D8:D21)</f>
      </c>
      <c r="B5" s="4"/>
      <c r="C5" s="4">
        <f>SUM(E8:E21)*12</f>
      </c>
      <c r="D5" s="4"/>
      <c r="E5" s="4">
        <f>SUM(G8:G21)</f>
      </c>
      <c r="F5" s="4"/>
      <c r="G5" s="4">
        <f>SUM(H8:H21)</f>
      </c>
      <c r="H5" s="4"/>
    </row>
    <row r="7" ht="26" customHeight="1" spans="1:8" x14ac:dyDescent="0.25">
      <c r="A7" s="5" t="s">
        <v>6</v>
      </c>
      <c r="B7" s="6" t="s">
        <v>7</v>
      </c>
      <c r="C7" s="6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</row>
    <row r="8" ht="20" customHeight="1" spans="1:8" x14ac:dyDescent="0.25">
      <c r="A8" s="8" t="s">
        <v>14</v>
      </c>
      <c r="B8" s="9">
        <v>2033</v>
      </c>
      <c r="C8" s="9">
        <v>7</v>
      </c>
      <c r="D8" s="10">
        <v>28500</v>
      </c>
      <c r="E8" s="10">
        <v>450</v>
      </c>
      <c r="F8" s="11">
        <v>0.07</v>
      </c>
      <c r="G8" s="10">
        <f>ROUND(D8*(1+F8)^C8 + E8*12*(((1+F8)^C8 - 1)/F8),2)</f>
      </c>
      <c r="H8" s="10">
        <v>125000</v>
      </c>
    </row>
    <row r="9" ht="20" customHeight="1" spans="1:8" x14ac:dyDescent="0.25">
      <c r="A9" s="12" t="s">
        <v>15</v>
      </c>
      <c r="B9" s="13">
        <v>2036</v>
      </c>
      <c r="C9" s="13">
        <v>10</v>
      </c>
      <c r="D9" s="14">
        <v>18200</v>
      </c>
      <c r="E9" s="14">
        <v>500</v>
      </c>
      <c r="F9" s="15">
        <v>0.07</v>
      </c>
      <c r="G9" s="14">
        <f>ROUND(D9*(1+F9)^C9 + E9*12*(((1+F9)^C9 - 1)/F9),2)</f>
      </c>
      <c r="H9" s="14">
        <v>145000</v>
      </c>
    </row>
    <row r="10" ht="20" customHeight="1" spans="1:8" x14ac:dyDescent="0.25">
      <c r="A10" s="8" t="s">
        <v>16</v>
      </c>
      <c r="B10" s="9">
        <v>2039</v>
      </c>
      <c r="C10" s="9">
        <v>13</v>
      </c>
      <c r="D10" s="10">
        <v>12000</v>
      </c>
      <c r="E10" s="10">
        <v>400</v>
      </c>
      <c r="F10" s="11">
        <v>0.07</v>
      </c>
      <c r="G10" s="10">
        <f>ROUND(D10*(1+F10)^C10 + E10*12*(((1+F10)^C10 - 1)/F10),2)</f>
      </c>
      <c r="H10" s="10">
        <v>170000</v>
      </c>
    </row>
    <row r="11" ht="20" customHeight="1" spans="1:8" x14ac:dyDescent="0.25">
      <c r="A11" s="12" t="s">
        <v>17</v>
      </c>
      <c r="B11" s="13">
        <v>2032</v>
      </c>
      <c r="C11" s="13">
        <v>6</v>
      </c>
      <c r="D11" s="14">
        <v>15000</v>
      </c>
      <c r="E11" s="14">
        <v>250</v>
      </c>
      <c r="F11" s="15">
        <v>0.07</v>
      </c>
      <c r="G11" s="14">
        <f>ROUND(D11*(1+F11)^C11 + E11*12*(((1+F11)^C11 - 1)/F11),2)</f>
      </c>
      <c r="H11" s="14">
        <v>110000</v>
      </c>
    </row>
    <row r="12" ht="20" customHeight="1" spans="1:8" x14ac:dyDescent="0.25">
      <c r="A12" s="8" t="s">
        <v>18</v>
      </c>
      <c r="B12" s="9">
        <v>2035</v>
      </c>
      <c r="C12" s="9">
        <v>9</v>
      </c>
      <c r="D12" s="10">
        <v>9500</v>
      </c>
      <c r="E12" s="10">
        <v>200</v>
      </c>
      <c r="F12" s="11">
        <v>0.07</v>
      </c>
      <c r="G12" s="10">
        <f>ROUND(D12*(1+F12)^C12 + E12*12*(((1+F12)^C12 - 1)/F12),2)</f>
      </c>
      <c r="H12" s="10">
        <v>135000</v>
      </c>
    </row>
    <row r="13" ht="20" customHeight="1" spans="1:8" x14ac:dyDescent="0.25">
      <c r="A13" s="12" t="s">
        <v>19</v>
      </c>
      <c r="B13" s="13">
        <v>2037</v>
      </c>
      <c r="C13" s="13">
        <v>11</v>
      </c>
      <c r="D13" s="14">
        <v>7800</v>
      </c>
      <c r="E13" s="14">
        <v>250</v>
      </c>
      <c r="F13" s="15">
        <v>0.07</v>
      </c>
      <c r="G13" s="14">
        <f>ROUND(D13*(1+F13)^C13 + E13*12*(((1+F13)^C13 - 1)/F13),2)</f>
      </c>
      <c r="H13" s="14">
        <v>155000</v>
      </c>
    </row>
    <row r="14" ht="20" customHeight="1" spans="1:8" x14ac:dyDescent="0.25">
      <c r="A14" s="8" t="s">
        <v>20</v>
      </c>
      <c r="B14" s="9">
        <v>2031</v>
      </c>
      <c r="C14" s="9">
        <v>5</v>
      </c>
      <c r="D14" s="10">
        <v>45000</v>
      </c>
      <c r="E14" s="10">
        <v>600</v>
      </c>
      <c r="F14" s="11">
        <v>0.065</v>
      </c>
      <c r="G14" s="10">
        <f>ROUND(D14*(1+F14)^C14 + E14*12*(((1+F14)^C14 - 1)/F14),2)</f>
      </c>
      <c r="H14" s="10">
        <v>105000</v>
      </c>
    </row>
    <row r="15" ht="20" customHeight="1" spans="1:8" x14ac:dyDescent="0.25">
      <c r="A15" s="12" t="s">
        <v>21</v>
      </c>
      <c r="B15" s="13">
        <v>2034</v>
      </c>
      <c r="C15" s="13">
        <v>8</v>
      </c>
      <c r="D15" s="14">
        <v>32000</v>
      </c>
      <c r="E15" s="14">
        <v>550</v>
      </c>
      <c r="F15" s="15">
        <v>0.065</v>
      </c>
      <c r="G15" s="14">
        <f>ROUND(D15*(1+F15)^C15 + E15*12*(((1+F15)^C15 - 1)/F15),2)</f>
      </c>
      <c r="H15" s="14">
        <v>130000</v>
      </c>
    </row>
    <row r="16" ht="20" customHeight="1" spans="1:8" x14ac:dyDescent="0.25">
      <c r="A16" s="8" t="s">
        <v>22</v>
      </c>
      <c r="B16" s="9">
        <v>2038</v>
      </c>
      <c r="C16" s="9">
        <v>12</v>
      </c>
      <c r="D16" s="10">
        <v>19000</v>
      </c>
      <c r="E16" s="10">
        <v>450</v>
      </c>
      <c r="F16" s="11">
        <v>0.07</v>
      </c>
      <c r="G16" s="10">
        <f>ROUND(D16*(1+F16)^C16 + E16*12*(((1+F16)^C16 - 1)/F16),2)</f>
      </c>
      <c r="H16" s="10">
        <v>160000</v>
      </c>
    </row>
    <row r="17" ht="20" customHeight="1" spans="1:8" x14ac:dyDescent="0.25">
      <c r="A17" s="12" t="s">
        <v>23</v>
      </c>
      <c r="B17" s="13">
        <v>2030</v>
      </c>
      <c r="C17" s="13">
        <v>4</v>
      </c>
      <c r="D17" s="14">
        <v>65000</v>
      </c>
      <c r="E17" s="14">
        <v>800</v>
      </c>
      <c r="F17" s="15">
        <v>0.06</v>
      </c>
      <c r="G17" s="14">
        <f>ROUND(D17*(1+F17)^C17 + E17*12*(((1+F17)^C17 - 1)/F17),2)</f>
      </c>
      <c r="H17" s="14">
        <v>95000</v>
      </c>
    </row>
    <row r="18" ht="20" customHeight="1" spans="1:8" x14ac:dyDescent="0.25">
      <c r="A18" s="8" t="s">
        <v>24</v>
      </c>
      <c r="B18" s="9">
        <v>2033</v>
      </c>
      <c r="C18" s="9">
        <v>7</v>
      </c>
      <c r="D18" s="10">
        <v>38000</v>
      </c>
      <c r="E18" s="10">
        <v>700</v>
      </c>
      <c r="F18" s="11">
        <v>0.065</v>
      </c>
      <c r="G18" s="10">
        <f>ROUND(D18*(1+F18)^C18 + E18*12*(((1+F18)^C18 - 1)/F18),2)</f>
      </c>
      <c r="H18" s="10">
        <v>125000</v>
      </c>
    </row>
    <row r="19" ht="20" customHeight="1" spans="1:8" x14ac:dyDescent="0.25">
      <c r="A19" s="12" t="s">
        <v>25</v>
      </c>
      <c r="B19" s="13">
        <v>2036</v>
      </c>
      <c r="C19" s="13">
        <v>10</v>
      </c>
      <c r="D19" s="14">
        <v>24000</v>
      </c>
      <c r="E19" s="14">
        <v>650</v>
      </c>
      <c r="F19" s="15">
        <v>0.07</v>
      </c>
      <c r="G19" s="14">
        <f>ROUND(D19*(1+F19)^C19 + E19*12*(((1+F19)^C19 - 1)/F19),2)</f>
      </c>
      <c r="H19" s="14">
        <v>145000</v>
      </c>
    </row>
    <row r="20" ht="20" customHeight="1" spans="1:8" x14ac:dyDescent="0.25">
      <c r="A20" s="8" t="s">
        <v>26</v>
      </c>
      <c r="B20" s="9">
        <v>2035</v>
      </c>
      <c r="C20" s="9">
        <v>9</v>
      </c>
      <c r="D20" s="10">
        <v>55000</v>
      </c>
      <c r="E20" s="10">
        <v>900</v>
      </c>
      <c r="F20" s="11">
        <v>0.07</v>
      </c>
      <c r="G20" s="10">
        <f>ROUND(D20*(1+F20)^C20 + E20*12*(((1+F20)^C20 - 1)/F20),2)</f>
      </c>
      <c r="H20" s="10">
        <v>135000</v>
      </c>
    </row>
    <row r="21" ht="20" customHeight="1" spans="1:8" x14ac:dyDescent="0.25">
      <c r="A21" s="12" t="s">
        <v>27</v>
      </c>
      <c r="B21" s="13">
        <v>2037</v>
      </c>
      <c r="C21" s="13">
        <v>11</v>
      </c>
      <c r="D21" s="14">
        <v>42000</v>
      </c>
      <c r="E21" s="14">
        <v>750</v>
      </c>
      <c r="F21" s="15">
        <v>0.07</v>
      </c>
      <c r="G21" s="14">
        <f>ROUND(D21*(1+F21)^C21 + E21*12*(((1+F21)^C21 - 1)/F21),2)</f>
      </c>
      <c r="H21" s="14">
        <v>155000</v>
      </c>
    </row>
    <row r="22" ht="24" customHeight="1" spans="1:8" x14ac:dyDescent="0.25">
      <c r="A22" s="16" t="s">
        <v>28</v>
      </c>
      <c r="B22" s="17" t="s">
        <v>29</v>
      </c>
      <c r="C22" s="17" t="s">
        <v>29</v>
      </c>
      <c r="D22" s="18">
        <f>SUM(D8:D21)</f>
      </c>
      <c r="E22" s="18">
        <f>SUM(E8:E21)</f>
      </c>
      <c r="F22" s="19">
        <f>AVERAGE(F8:F21)</f>
      </c>
      <c r="G22" s="18">
        <f>SUM(G8:G21)</f>
      </c>
      <c r="H22" s="18">
        <f>SUM(H8:H21)</f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
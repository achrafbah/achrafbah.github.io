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folio ROI Analyzer" state="visible" r:id="rId4"/>
  </sheets>
  <calcPr calcId="171027"/>
</workbook>
</file>

<file path=xl/sharedStrings.xml><?xml version="1.0" encoding="utf-8"?>
<sst xmlns="http://schemas.openxmlformats.org/spreadsheetml/2006/main" count="32" uniqueCount="32">
  <si>
    <t>REAL ESTATE INVESTMENT ROI ANALYZER — CASH FLOW, CAP RATE &amp; MORTGAGE PMT</t>
  </si>
  <si>
    <t>Multi-Property Rental Deal Underwriting | Debt Service, NOI, Cap Rate &amp; Cash-on-Cash Return</t>
  </si>
  <si>
    <t>TOTAL PORTFOLIO VALUE</t>
  </si>
  <si>
    <t>TOTAL EQUITY DOWN PAYMENT</t>
  </si>
  <si>
    <t>ANNUAL PORTFOLIO NOI</t>
  </si>
  <si>
    <t>PORTFOLIO AVG CAP RATE</t>
  </si>
  <si>
    <t>AVG CASH-ON-CASH ROI %</t>
  </si>
  <si>
    <t>Property Address / Asset</t>
  </si>
  <si>
    <t>Purchase Price ($)</t>
  </si>
  <si>
    <t>Down Payment (25%)</t>
  </si>
  <si>
    <t>Loan Amount ($)</t>
  </si>
  <si>
    <t>Interest Rate %</t>
  </si>
  <si>
    <t>Gross Monthly Rent</t>
  </si>
  <si>
    <t>Operating Expenses</t>
  </si>
  <si>
    <t>Monthly NOI ($)</t>
  </si>
  <si>
    <t>Monthly Mortgage PMT</t>
  </si>
  <si>
    <t>Cap Rate %</t>
  </si>
  <si>
    <t>Cash-on-Cash ROI %</t>
  </si>
  <si>
    <t>104 Oakridge Duplex, Austin TX</t>
  </si>
  <si>
    <t>229 Maple Court Triplex, Raleigh NC</t>
  </si>
  <si>
    <t>88 Pinecrest Fourplex, Tampa FL</t>
  </si>
  <si>
    <t>412 Cedar Townhome, Nashville TN</t>
  </si>
  <si>
    <t>19 Summit Garden Apts, Phoenix AZ</t>
  </si>
  <si>
    <t>705 Harbor View Condo, Miami FL</t>
  </si>
  <si>
    <t>318 Highland SFR, Charlotte NC</t>
  </si>
  <si>
    <t>550 Riverfront Lofts, Columbus OH</t>
  </si>
  <si>
    <t>622 Meadowbrook Duplex, Dallas TX</t>
  </si>
  <si>
    <t>910 Bayside Villas, Jacksonville FL</t>
  </si>
  <si>
    <t>144 Westside Brownstone, Atlanta GA</t>
  </si>
  <si>
    <t>280 Sunbelt Courtyard, Las Vegas NV</t>
  </si>
  <si>
    <t>830 Parkside Multi-Family, Denver CO</t>
  </si>
  <si>
    <t>PORTFOLIO TOTAL /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</si>
</sst>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;($#,##0.00);&quot;-&quot;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D1FAE5"/>
      <sz val="10"/>
      <name val="Segoe UI"/>
    </font>
    <font>
      <b/>
      <color rgb="FF064E3B"/>
      <sz val="8"/>
      <name val="Segoe UI"/>
    </font>
    <font>
      <b/>
      <color rgb="FF0F172A"/>
      <sz val="13"/>
      <name val="Segoe UI"/>
    </font>
    <font>
      <b/>
      <color rgb="FFFFFFFF"/>
      <sz val="10"/>
      <name val="Segoe UI"/>
    </font>
    <font>
      <color rgb="FF0F172A"/>
      <sz val="10"/>
      <name val="Segoe UI"/>
    </font>
    <font>
      <b/>
      <color rgb="FF0F172A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0FDF4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/>
      <right style="thin">
        <color rgb="FF10B981"/>
      </right>
      <top style="medium">
        <color rgb="FF10B981"/>
      </top>
      <bottom/>
      <diagonal/>
    </border>
    <border>
      <left/>
      <right style="thin">
        <color rgb="FF10B981"/>
      </right>
      <top/>
      <bottom style="medium">
        <color rgb="FF10B981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47857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double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center"/>
    </xf>
    <xf numFmtId="164" fontId="6" fillId="5" borderId="4" xfId="0" applyNumberFormat="1" applyFont="1" applyFill="1" applyBorder="1" applyAlignment="1">
      <alignment horizontal="right" vertical="center"/>
    </xf>
    <xf numFmtId="165" fontId="6" fillId="5" borderId="4" xfId="0" applyNumberFormat="1" applyFont="1" applyFill="1" applyBorder="1" applyAlignment="1">
      <alignment horizontal="right" vertical="center"/>
    </xf>
    <xf numFmtId="0" fontId="6" fillId="6" borderId="4" xfId="0" applyFont="1" applyFill="1" applyBorder="1" applyAlignment="1">
      <alignment horizontal="left" vertical="center"/>
    </xf>
    <xf numFmtId="164" fontId="6" fillId="6" borderId="4" xfId="0" applyNumberFormat="1" applyFont="1" applyFill="1" applyBorder="1" applyAlignment="1">
      <alignment horizontal="right" vertical="center"/>
    </xf>
    <xf numFmtId="165" fontId="6" fillId="6" borderId="4" xfId="0" applyNumberFormat="1" applyFont="1" applyFill="1" applyBorder="1" applyAlignment="1">
      <alignment horizontal="right" vertical="center"/>
    </xf>
    <xf numFmtId="0" fontId="7" fillId="7" borderId="5" xfId="0" applyFont="1" applyFill="1" applyBorder="1" applyAlignment="1">
      <alignment horizontal="left" vertical="center"/>
    </xf>
    <xf numFmtId="164" fontId="7" fillId="7" borderId="5" xfId="0" applyNumberFormat="1" applyFont="1" applyFill="1" applyBorder="1" applyAlignment="1">
      <alignment horizontal="right" vertical="center"/>
    </xf>
    <xf numFmtId="165" fontId="7" fillId="7" borderId="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4" width="18" customWidth="1"/>
    <col min="5" max="5" width="14" customWidth="1"/>
    <col min="6" max="7" width="18" customWidth="1"/>
    <col min="8" max="8" width="17" customWidth="1"/>
    <col min="9" max="9" width="20" customWidth="1"/>
    <col min="10" max="10" width="14" customWidth="1"/>
    <col min="11" max="11" width="18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0" customHeight="1" x14ac:dyDescent="0.25"/>
    <row r="4" ht="18" customHeight="1" spans="1:11" x14ac:dyDescent="0.25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  <c r="K4" s="3"/>
    </row>
    <row r="5" ht="28" customHeight="1" spans="1:11" x14ac:dyDescent="0.25">
      <c r="A5" s="4">
        <f>SUM(B8:B20)</f>
      </c>
      <c r="B5" s="4"/>
      <c r="C5" s="4">
        <f>SUM(C8:C20)</f>
      </c>
      <c r="D5" s="4"/>
      <c r="E5" s="4">
        <f>SUM(H8:H20)*12</f>
      </c>
      <c r="F5" s="4"/>
      <c r="G5" s="5">
        <f>AVERAGE(J8:J20)</f>
      </c>
      <c r="H5" s="5"/>
      <c r="I5" s="5">
        <f>AVERAGE(K8:K20)</f>
      </c>
      <c r="J5" s="5"/>
      <c r="K5" s="5"/>
    </row>
    <row r="6" ht="12" customHeight="1" x14ac:dyDescent="0.25"/>
    <row r="7" ht="26" customHeight="1" spans="1:11" x14ac:dyDescent="0.25">
      <c r="A7" s="6" t="s">
        <v>7</v>
      </c>
      <c r="B7" s="7" t="s">
        <v>8</v>
      </c>
      <c r="C7" s="7" t="s">
        <v>9</v>
      </c>
      <c r="D7" s="7" t="s">
        <v>10</v>
      </c>
      <c r="E7" s="7" t="s">
        <v>11</v>
      </c>
      <c r="F7" s="7" t="s">
        <v>12</v>
      </c>
      <c r="G7" s="7" t="s">
        <v>13</v>
      </c>
      <c r="H7" s="7" t="s">
        <v>14</v>
      </c>
      <c r="I7" s="7" t="s">
        <v>15</v>
      </c>
      <c r="J7" s="7" t="s">
        <v>16</v>
      </c>
      <c r="K7" s="7" t="s">
        <v>17</v>
      </c>
    </row>
    <row r="8" ht="21" customHeight="1" spans="1:11" x14ac:dyDescent="0.25">
      <c r="A8" s="8" t="s">
        <v>18</v>
      </c>
      <c r="B8" s="9">
        <v>485000</v>
      </c>
      <c r="C8" s="9">
        <f>B8*0.25</f>
      </c>
      <c r="D8" s="9">
        <f>B8-C8</f>
      </c>
      <c r="E8" s="10">
        <v>0.065</v>
      </c>
      <c r="F8" s="9">
        <v>4600</v>
      </c>
      <c r="G8" s="9">
        <v>1380</v>
      </c>
      <c r="H8" s="9">
        <f>F8-G8</f>
      </c>
      <c r="I8" s="9">
        <f>-PMT(E8/12,360,D8)</f>
      </c>
      <c r="J8" s="10">
        <f>IF(B8&gt;0,(H8*12)/B8,0)</f>
      </c>
      <c r="K8" s="10">
        <f>IF(C8&gt;0,((H8-I8)*12)/(C8+8500),0)</f>
      </c>
    </row>
    <row r="9" ht="21" customHeight="1" spans="1:11" x14ac:dyDescent="0.25">
      <c r="A9" s="11" t="s">
        <v>19</v>
      </c>
      <c r="B9" s="12">
        <v>620000</v>
      </c>
      <c r="C9" s="12">
        <f>B9*0.25</f>
      </c>
      <c r="D9" s="12">
        <f>B9-C9</f>
      </c>
      <c r="E9" s="13">
        <v>0.0675</v>
      </c>
      <c r="F9" s="12">
        <v>5950</v>
      </c>
      <c r="G9" s="12">
        <v>1790</v>
      </c>
      <c r="H9" s="12">
        <f>F9-G9</f>
      </c>
      <c r="I9" s="12">
        <f>-PMT(E9/12,360,D9)</f>
      </c>
      <c r="J9" s="13">
        <f>IF(B9&gt;0,(H9*12)/B9,0)</f>
      </c>
      <c r="K9" s="13">
        <f>IF(C9&gt;0,((H9-I9)*12)/(C9+8500),0)</f>
      </c>
    </row>
    <row r="10" ht="21" customHeight="1" spans="1:11" x14ac:dyDescent="0.25">
      <c r="A10" s="8" t="s">
        <v>20</v>
      </c>
      <c r="B10" s="9">
        <v>790000</v>
      </c>
      <c r="C10" s="9">
        <f>B10*0.25</f>
      </c>
      <c r="D10" s="9">
        <f>B10-C10</f>
      </c>
      <c r="E10" s="10">
        <v>0.0685</v>
      </c>
      <c r="F10" s="9">
        <v>7800</v>
      </c>
      <c r="G10" s="9">
        <v>2340</v>
      </c>
      <c r="H10" s="9">
        <f>F10-G10</f>
      </c>
      <c r="I10" s="9">
        <f>-PMT(E10/12,360,D10)</f>
      </c>
      <c r="J10" s="10">
        <f>IF(B10&gt;0,(H10*12)/B10,0)</f>
      </c>
      <c r="K10" s="10">
        <f>IF(C10&gt;0,((H10-I10)*12)/(C10+8500),0)</f>
      </c>
    </row>
    <row r="11" ht="21" customHeight="1" spans="1:11" x14ac:dyDescent="0.25">
      <c r="A11" s="11" t="s">
        <v>21</v>
      </c>
      <c r="B11" s="12">
        <v>365000</v>
      </c>
      <c r="C11" s="12">
        <f>B11*0.25</f>
      </c>
      <c r="D11" s="12">
        <f>B11-C11</f>
      </c>
      <c r="E11" s="13">
        <v>0.064</v>
      </c>
      <c r="F11" s="12">
        <v>3250</v>
      </c>
      <c r="G11" s="12">
        <v>960</v>
      </c>
      <c r="H11" s="12">
        <f>F11-G11</f>
      </c>
      <c r="I11" s="12">
        <f>-PMT(E11/12,360,D11)</f>
      </c>
      <c r="J11" s="13">
        <f>IF(B11&gt;0,(H11*12)/B11,0)</f>
      </c>
      <c r="K11" s="13">
        <f>IF(C11&gt;0,((H11-I11)*12)/(C11+8500),0)</f>
      </c>
    </row>
    <row r="12" ht="21" customHeight="1" spans="1:11" x14ac:dyDescent="0.25">
      <c r="A12" s="8" t="s">
        <v>22</v>
      </c>
      <c r="B12" s="9">
        <v>940000</v>
      </c>
      <c r="C12" s="9">
        <f>B12*0.25</f>
      </c>
      <c r="D12" s="9">
        <f>B12-C12</f>
      </c>
      <c r="E12" s="10">
        <v>0.07</v>
      </c>
      <c r="F12" s="9">
        <v>9100</v>
      </c>
      <c r="G12" s="9">
        <v>2850</v>
      </c>
      <c r="H12" s="9">
        <f>F12-G12</f>
      </c>
      <c r="I12" s="9">
        <f>-PMT(E12/12,360,D12)</f>
      </c>
      <c r="J12" s="10">
        <f>IF(B12&gt;0,(H12*12)/B12,0)</f>
      </c>
      <c r="K12" s="10">
        <f>IF(C12&gt;0,((H12-I12)*12)/(C12+8500),0)</f>
      </c>
    </row>
    <row r="13" ht="21" customHeight="1" spans="1:11" x14ac:dyDescent="0.25">
      <c r="A13" s="11" t="s">
        <v>23</v>
      </c>
      <c r="B13" s="12">
        <v>410000</v>
      </c>
      <c r="C13" s="12">
        <f>B13*0.25</f>
      </c>
      <c r="D13" s="12">
        <f>B13-C13</f>
      </c>
      <c r="E13" s="13">
        <v>0.066</v>
      </c>
      <c r="F13" s="12">
        <v>3850</v>
      </c>
      <c r="G13" s="12">
        <v>1280</v>
      </c>
      <c r="H13" s="12">
        <f>F13-G13</f>
      </c>
      <c r="I13" s="12">
        <f>-PMT(E13/12,360,D13)</f>
      </c>
      <c r="J13" s="13">
        <f>IF(B13&gt;0,(H13*12)/B13,0)</f>
      </c>
      <c r="K13" s="13">
        <f>IF(C13&gt;0,((H13-I13)*12)/(C13+8500),0)</f>
      </c>
    </row>
    <row r="14" ht="21" customHeight="1" spans="1:11" x14ac:dyDescent="0.25">
      <c r="A14" s="8" t="s">
        <v>24</v>
      </c>
      <c r="B14" s="9">
        <v>330000</v>
      </c>
      <c r="C14" s="9">
        <f>B14*0.25</f>
      </c>
      <c r="D14" s="9">
        <f>B14-C14</f>
      </c>
      <c r="E14" s="10">
        <v>0.0625</v>
      </c>
      <c r="F14" s="9">
        <v>2950</v>
      </c>
      <c r="G14" s="9">
        <v>840</v>
      </c>
      <c r="H14" s="9">
        <f>F14-G14</f>
      </c>
      <c r="I14" s="9">
        <f>-PMT(E14/12,360,D14)</f>
      </c>
      <c r="J14" s="10">
        <f>IF(B14&gt;0,(H14*12)/B14,0)</f>
      </c>
      <c r="K14" s="10">
        <f>IF(C14&gt;0,((H14-I14)*12)/(C14+8500),0)</f>
      </c>
    </row>
    <row r="15" ht="21" customHeight="1" spans="1:11" x14ac:dyDescent="0.25">
      <c r="A15" s="11" t="s">
        <v>25</v>
      </c>
      <c r="B15" s="12">
        <v>540000</v>
      </c>
      <c r="C15" s="12">
        <f>B15*0.25</f>
      </c>
      <c r="D15" s="12">
        <f>B15-C15</f>
      </c>
      <c r="E15" s="13">
        <v>0.0665</v>
      </c>
      <c r="F15" s="12">
        <v>5200</v>
      </c>
      <c r="G15" s="12">
        <v>1560</v>
      </c>
      <c r="H15" s="12">
        <f>F15-G15</f>
      </c>
      <c r="I15" s="12">
        <f>-PMT(E15/12,360,D15)</f>
      </c>
      <c r="J15" s="13">
        <f>IF(B15&gt;0,(H15*12)/B15,0)</f>
      </c>
      <c r="K15" s="13">
        <f>IF(C15&gt;0,((H15-I15)*12)/(C15+8500),0)</f>
      </c>
    </row>
    <row r="16" ht="21" customHeight="1" spans="1:11" x14ac:dyDescent="0.25">
      <c r="A16" s="8" t="s">
        <v>26</v>
      </c>
      <c r="B16" s="9">
        <v>460000</v>
      </c>
      <c r="C16" s="9">
        <f>B16*0.25</f>
      </c>
      <c r="D16" s="9">
        <f>B16-C16</f>
      </c>
      <c r="E16" s="10">
        <v>0.065</v>
      </c>
      <c r="F16" s="9">
        <v>4450</v>
      </c>
      <c r="G16" s="9">
        <v>1310</v>
      </c>
      <c r="H16" s="9">
        <f>F16-G16</f>
      </c>
      <c r="I16" s="9">
        <f>-PMT(E16/12,360,D16)</f>
      </c>
      <c r="J16" s="10">
        <f>IF(B16&gt;0,(H16*12)/B16,0)</f>
      </c>
      <c r="K16" s="10">
        <f>IF(C16&gt;0,((H16-I16)*12)/(C16+8500),0)</f>
      </c>
    </row>
    <row r="17" ht="21" customHeight="1" spans="1:11" x14ac:dyDescent="0.25">
      <c r="A17" s="11" t="s">
        <v>27</v>
      </c>
      <c r="B17" s="12">
        <v>675000</v>
      </c>
      <c r="C17" s="12">
        <f>B17*0.25</f>
      </c>
      <c r="D17" s="12">
        <f>B17-C17</f>
      </c>
      <c r="E17" s="13">
        <v>0.068</v>
      </c>
      <c r="F17" s="12">
        <v>6500</v>
      </c>
      <c r="G17" s="12">
        <v>1980</v>
      </c>
      <c r="H17" s="12">
        <f>F17-G17</f>
      </c>
      <c r="I17" s="12">
        <f>-PMT(E17/12,360,D17)</f>
      </c>
      <c r="J17" s="13">
        <f>IF(B17&gt;0,(H17*12)/B17,0)</f>
      </c>
      <c r="K17" s="13">
        <f>IF(C17&gt;0,((H17-I17)*12)/(C17+8500),0)</f>
      </c>
    </row>
    <row r="18" ht="21" customHeight="1" spans="1:11" x14ac:dyDescent="0.25">
      <c r="A18" s="8" t="s">
        <v>28</v>
      </c>
      <c r="B18" s="9">
        <v>515000</v>
      </c>
      <c r="C18" s="9">
        <f>B18*0.25</f>
      </c>
      <c r="D18" s="9">
        <f>B18-C18</f>
      </c>
      <c r="E18" s="10">
        <v>0.0655</v>
      </c>
      <c r="F18" s="9">
        <v>4900</v>
      </c>
      <c r="G18" s="9">
        <v>1470</v>
      </c>
      <c r="H18" s="9">
        <f>F18-G18</f>
      </c>
      <c r="I18" s="9">
        <f>-PMT(E18/12,360,D18)</f>
      </c>
      <c r="J18" s="10">
        <f>IF(B18&gt;0,(H18*12)/B18,0)</f>
      </c>
      <c r="K18" s="10">
        <f>IF(C18&gt;0,((H18-I18)*12)/(C18+8500),0)</f>
      </c>
    </row>
    <row r="19" ht="21" customHeight="1" spans="1:11" x14ac:dyDescent="0.25">
      <c r="A19" s="11" t="s">
        <v>29</v>
      </c>
      <c r="B19" s="12">
        <v>595000</v>
      </c>
      <c r="C19" s="12">
        <f>B19*0.25</f>
      </c>
      <c r="D19" s="12">
        <f>B19-C19</f>
      </c>
      <c r="E19" s="13">
        <v>0.067</v>
      </c>
      <c r="F19" s="12">
        <v>5650</v>
      </c>
      <c r="G19" s="12">
        <v>1690</v>
      </c>
      <c r="H19" s="12">
        <f>F19-G19</f>
      </c>
      <c r="I19" s="12">
        <f>-PMT(E19/12,360,D19)</f>
      </c>
      <c r="J19" s="13">
        <f>IF(B19&gt;0,(H19*12)/B19,0)</f>
      </c>
      <c r="K19" s="13">
        <f>IF(C19&gt;0,((H19-I19)*12)/(C19+8500),0)</f>
      </c>
    </row>
    <row r="20" ht="21" customHeight="1" spans="1:11" x14ac:dyDescent="0.25">
      <c r="A20" s="8" t="s">
        <v>30</v>
      </c>
      <c r="B20" s="9">
        <v>860000</v>
      </c>
      <c r="C20" s="9">
        <f>B20*0.25</f>
      </c>
      <c r="D20" s="9">
        <f>B20-C20</f>
      </c>
      <c r="E20" s="10">
        <v>0.069</v>
      </c>
      <c r="F20" s="9">
        <v>8250</v>
      </c>
      <c r="G20" s="9">
        <v>2490</v>
      </c>
      <c r="H20" s="9">
        <f>F20-G20</f>
      </c>
      <c r="I20" s="9">
        <f>-PMT(E20/12,360,D20)</f>
      </c>
      <c r="J20" s="10">
        <f>IF(B20&gt;0,(H20*12)/B20,0)</f>
      </c>
      <c r="K20" s="10">
        <f>IF(C20&gt;0,((H20-I20)*12)/(C20+8500),0)</f>
      </c>
    </row>
    <row r="21" ht="24" customHeight="1" spans="1:11" x14ac:dyDescent="0.25">
      <c r="A21" s="14" t="s">
        <v>31</v>
      </c>
      <c r="B21" s="15">
        <f>SUM(B8:B20)</f>
      </c>
      <c r="C21" s="15">
        <f>SUM(C8:C20)</f>
      </c>
      <c r="D21" s="15">
        <f>SUM(D8:D20)</f>
      </c>
      <c r="E21" s="16">
        <f>AVERAGE(E8:E20)</f>
      </c>
      <c r="F21" s="15">
        <f>SUM(F8:F20)</f>
      </c>
      <c r="G21" s="15">
        <f>SUM(G8:G20)</f>
      </c>
      <c r="H21" s="15">
        <f>SUM(H8:H20)</f>
      </c>
      <c r="I21" s="15">
        <f>SUM(I8:I20)</f>
      </c>
      <c r="J21" s="16">
        <f>AVERAGE(J8:J20)</f>
      </c>
      <c r="K21" s="16">
        <f>AVERAGE(K8:K20)</f>
      </c>
    </row>
  </sheetData>
  <mergeCells count="12">
    <mergeCell ref="A1:K1"/>
    <mergeCell ref="A2:K2"/>
    <mergeCell ref="A4:B4"/>
    <mergeCell ref="C4:D4"/>
    <mergeCell ref="E4:F4"/>
    <mergeCell ref="G4:H4"/>
    <mergeCell ref="I4:K4"/>
    <mergeCell ref="A5:B5"/>
    <mergeCell ref="C5:D5"/>
    <mergeCell ref="E5:F5"/>
    <mergeCell ref="G5:H5"/>
    <mergeCell ref="I5:K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 ROI Analyzer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2026-10-16T12:24:20Z</dcterms:created>
  <dcterms:modified xsi:type="dcterms:W3CDTF">2026-10-16T12:24:20Z</dcterms:modified>
</cp:coreProperties>
</file>
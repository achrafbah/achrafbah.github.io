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<sst xmlns="http://schemas.openxmlformats.org/spreadsheetml/2006/main" count="44" uniqueCount="36">
  <si>
    <t>INFLUENCER MARKETING SPONSORSHIP ROI &amp; AFFILIATE CAMPAIGN MODEL</t>
  </si>
  <si>
    <t>BizTools Executive Financial &amp; Operations Engine • Automated Dynamic Formulas</t>
  </si>
  <si>
    <t>Total Campaign Spend</t>
  </si>
  <si>
    <t>Total Tracked Revenue</t>
  </si>
  <si>
    <t>Campaign ROAS</t>
  </si>
  <si>
    <t>Total Social Impressions</t>
  </si>
  <si>
    <t>Creator / Handle</t>
  </si>
  <si>
    <t>Primary Platform</t>
  </si>
  <si>
    <t>Followers</t>
  </si>
  <si>
    <t>Campaign Views</t>
  </si>
  <si>
    <t>Contract Fee ($)</t>
  </si>
  <si>
    <t>Promo Code Orders</t>
  </si>
  <si>
    <t>Attributed Sales</t>
  </si>
  <si>
    <t>@TechReviewDaily</t>
  </si>
  <si>
    <t>YouTube</t>
  </si>
  <si>
    <t>@FitnessWithSarah</t>
  </si>
  <si>
    <t>Instagram</t>
  </si>
  <si>
    <t>@CodeWithAlex</t>
  </si>
  <si>
    <t>TikTok</t>
  </si>
  <si>
    <t>@MinimalistHome</t>
  </si>
  <si>
    <t>Pinterest / Blog</t>
  </si>
  <si>
    <t>@FinanceGuruOfficial</t>
  </si>
  <si>
    <t>@BeautyByMaya</t>
  </si>
  <si>
    <t>@OutdoorAdventurePro</t>
  </si>
  <si>
    <t>@DeskSetupInspo</t>
  </si>
  <si>
    <t>Twitter / X</t>
  </si>
  <si>
    <t>@ChefMarcoKitchen</t>
  </si>
  <si>
    <t>@TravelWithLina</t>
  </si>
  <si>
    <t>@StudySmartVibes</t>
  </si>
  <si>
    <t>@ProductivityHacks</t>
  </si>
  <si>
    <t>LinkedIn</t>
  </si>
  <si>
    <t>@GamerStationReview</t>
  </si>
  <si>
    <t>Twitch / YT</t>
  </si>
  <si>
    <t>@CleanEatsDaily</t>
  </si>
  <si>
    <t>CAMPAIGN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</si>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</sst>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0x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165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right" vertical="center"/>
    </xf>
    <xf numFmtId="164" fontId="7" fillId="8" borderId="3" xfId="0" applyNumberFormat="1" applyFont="1" applyFill="1" applyBorder="1" applyAlignment="1">
      <alignment horizontal="right" vertical="center"/>
    </xf>
    <xf numFmtId="165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8" customWidth="1"/>
    <col min="2" max="2" width="16" customWidth="1"/>
    <col min="3" max="3" width="13" customWidth="1"/>
    <col min="4" max="5" width="16" customWidth="1"/>
    <col min="6" max="6" width="18" customWidth="1"/>
    <col min="7" max="7" width="17" customWidth="1"/>
    <col min="8" max="8" width="1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SUM(E8:E21)</f>
      </c>
      <c r="B5" s="4"/>
      <c r="C5" s="4">
        <f>SUM(G8:G21)</f>
      </c>
      <c r="D5" s="4"/>
      <c r="E5" s="5">
        <f>IF(A5&gt;0,C5/A5,0)</f>
      </c>
      <c r="F5" s="5"/>
      <c r="G5" s="6">
        <f>SUM(D8:D21)</f>
      </c>
      <c r="H5" s="6"/>
    </row>
    <row r="7" ht="26" customHeight="1" spans="1:8" x14ac:dyDescent="0.25">
      <c r="A7" s="7" t="s">
        <v>6</v>
      </c>
      <c r="B7" s="8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4</v>
      </c>
    </row>
    <row r="8" ht="20" customHeight="1" spans="1:8" x14ac:dyDescent="0.25">
      <c r="A8" s="10" t="s">
        <v>13</v>
      </c>
      <c r="B8" s="11" t="s">
        <v>14</v>
      </c>
      <c r="C8" s="12">
        <v>450000</v>
      </c>
      <c r="D8" s="12">
        <v>185000</v>
      </c>
      <c r="E8" s="13">
        <v>4500</v>
      </c>
      <c r="F8" s="12">
        <v>310</v>
      </c>
      <c r="G8" s="13">
        <v>21700</v>
      </c>
      <c r="H8" s="14">
        <f>G8/E8</f>
      </c>
    </row>
    <row r="9" ht="20" customHeight="1" spans="1:8" x14ac:dyDescent="0.25">
      <c r="A9" s="15" t="s">
        <v>15</v>
      </c>
      <c r="B9" s="16" t="s">
        <v>16</v>
      </c>
      <c r="C9" s="17">
        <v>280000</v>
      </c>
      <c r="D9" s="17">
        <v>120000</v>
      </c>
      <c r="E9" s="18">
        <v>2800</v>
      </c>
      <c r="F9" s="17">
        <v>240</v>
      </c>
      <c r="G9" s="18">
        <v>14400</v>
      </c>
      <c r="H9" s="19">
        <f>G9/E9</f>
      </c>
    </row>
    <row r="10" ht="20" customHeight="1" spans="1:8" x14ac:dyDescent="0.25">
      <c r="A10" s="10" t="s">
        <v>17</v>
      </c>
      <c r="B10" s="11" t="s">
        <v>18</v>
      </c>
      <c r="C10" s="12">
        <v>620000</v>
      </c>
      <c r="D10" s="12">
        <v>410000</v>
      </c>
      <c r="E10" s="13">
        <v>3200</v>
      </c>
      <c r="F10" s="12">
        <v>450</v>
      </c>
      <c r="G10" s="13">
        <v>27000</v>
      </c>
      <c r="H10" s="14">
        <f>G10/E10</f>
      </c>
    </row>
    <row r="11" ht="20" customHeight="1" spans="1:8" x14ac:dyDescent="0.25">
      <c r="A11" s="15" t="s">
        <v>19</v>
      </c>
      <c r="B11" s="16" t="s">
        <v>20</v>
      </c>
      <c r="C11" s="17">
        <v>190000</v>
      </c>
      <c r="D11" s="17">
        <v>95000</v>
      </c>
      <c r="E11" s="18">
        <v>1800</v>
      </c>
      <c r="F11" s="17">
        <v>160</v>
      </c>
      <c r="G11" s="18">
        <v>9600</v>
      </c>
      <c r="H11" s="19">
        <f>G11/E11</f>
      </c>
    </row>
    <row r="12" ht="20" customHeight="1" spans="1:8" x14ac:dyDescent="0.25">
      <c r="A12" s="10" t="s">
        <v>21</v>
      </c>
      <c r="B12" s="11" t="s">
        <v>14</v>
      </c>
      <c r="C12" s="12">
        <v>520000</v>
      </c>
      <c r="D12" s="12">
        <v>240000</v>
      </c>
      <c r="E12" s="13">
        <v>6000</v>
      </c>
      <c r="F12" s="12">
        <v>490</v>
      </c>
      <c r="G12" s="13">
        <v>39200</v>
      </c>
      <c r="H12" s="14">
        <f>G12/E12</f>
      </c>
    </row>
    <row r="13" ht="20" customHeight="1" spans="1:8" x14ac:dyDescent="0.25">
      <c r="A13" s="15" t="s">
        <v>22</v>
      </c>
      <c r="B13" s="16" t="s">
        <v>18</v>
      </c>
      <c r="C13" s="17">
        <v>850000</v>
      </c>
      <c r="D13" s="17">
        <v>620000</v>
      </c>
      <c r="E13" s="18">
        <v>4000</v>
      </c>
      <c r="F13" s="17">
        <v>580</v>
      </c>
      <c r="G13" s="18">
        <v>29000</v>
      </c>
      <c r="H13" s="19">
        <f>G13/E13</f>
      </c>
    </row>
    <row r="14" ht="20" customHeight="1" spans="1:8" x14ac:dyDescent="0.25">
      <c r="A14" s="10" t="s">
        <v>23</v>
      </c>
      <c r="B14" s="11" t="s">
        <v>16</v>
      </c>
      <c r="C14" s="12">
        <v>210000</v>
      </c>
      <c r="D14" s="12">
        <v>88000</v>
      </c>
      <c r="E14" s="13">
        <v>2200</v>
      </c>
      <c r="F14" s="12">
        <v>140</v>
      </c>
      <c r="G14" s="13">
        <v>9800</v>
      </c>
      <c r="H14" s="14">
        <f>G14/E14</f>
      </c>
    </row>
    <row r="15" ht="20" customHeight="1" spans="1:8" x14ac:dyDescent="0.25">
      <c r="A15" s="15" t="s">
        <v>24</v>
      </c>
      <c r="B15" s="16" t="s">
        <v>25</v>
      </c>
      <c r="C15" s="17">
        <v>160000</v>
      </c>
      <c r="D15" s="17">
        <v>75000</v>
      </c>
      <c r="E15" s="18">
        <v>1500</v>
      </c>
      <c r="F15" s="17">
        <v>120</v>
      </c>
      <c r="G15" s="18">
        <v>8400</v>
      </c>
      <c r="H15" s="19">
        <f>G15/E15</f>
      </c>
    </row>
    <row r="16" ht="20" customHeight="1" spans="1:8" x14ac:dyDescent="0.25">
      <c r="A16" s="10" t="s">
        <v>26</v>
      </c>
      <c r="B16" s="11" t="s">
        <v>14</v>
      </c>
      <c r="C16" s="12">
        <v>340000</v>
      </c>
      <c r="D16" s="12">
        <v>160000</v>
      </c>
      <c r="E16" s="13">
        <v>3500</v>
      </c>
      <c r="F16" s="12">
        <v>280</v>
      </c>
      <c r="G16" s="13">
        <v>19600</v>
      </c>
      <c r="H16" s="14">
        <f>G16/E16</f>
      </c>
    </row>
    <row r="17" ht="20" customHeight="1" spans="1:8" x14ac:dyDescent="0.25">
      <c r="A17" s="15" t="s">
        <v>27</v>
      </c>
      <c r="B17" s="16" t="s">
        <v>16</v>
      </c>
      <c r="C17" s="17">
        <v>390000</v>
      </c>
      <c r="D17" s="17">
        <v>175000</v>
      </c>
      <c r="E17" s="18">
        <v>3800</v>
      </c>
      <c r="F17" s="17">
        <v>260</v>
      </c>
      <c r="G17" s="18">
        <v>18200</v>
      </c>
      <c r="H17" s="19">
        <f>G17/E17</f>
      </c>
    </row>
    <row r="18" ht="20" customHeight="1" spans="1:8" x14ac:dyDescent="0.25">
      <c r="A18" s="10" t="s">
        <v>28</v>
      </c>
      <c r="B18" s="11" t="s">
        <v>18</v>
      </c>
      <c r="C18" s="12">
        <v>480000</v>
      </c>
      <c r="D18" s="12">
        <v>320000</v>
      </c>
      <c r="E18" s="13">
        <v>2600</v>
      </c>
      <c r="F18" s="12">
        <v>390</v>
      </c>
      <c r="G18" s="13">
        <v>19500</v>
      </c>
      <c r="H18" s="14">
        <f>G18/E18</f>
      </c>
    </row>
    <row r="19" ht="20" customHeight="1" spans="1:8" x14ac:dyDescent="0.25">
      <c r="A19" s="15" t="s">
        <v>29</v>
      </c>
      <c r="B19" s="16" t="s">
        <v>30</v>
      </c>
      <c r="C19" s="17">
        <v>125000</v>
      </c>
      <c r="D19" s="17">
        <v>64000</v>
      </c>
      <c r="E19" s="18">
        <v>2000</v>
      </c>
      <c r="F19" s="17">
        <v>190</v>
      </c>
      <c r="G19" s="18">
        <v>17100</v>
      </c>
      <c r="H19" s="19">
        <f>G19/E19</f>
      </c>
    </row>
    <row r="20" ht="20" customHeight="1" spans="1:8" x14ac:dyDescent="0.25">
      <c r="A20" s="10" t="s">
        <v>31</v>
      </c>
      <c r="B20" s="11" t="s">
        <v>32</v>
      </c>
      <c r="C20" s="12">
        <v>310000</v>
      </c>
      <c r="D20" s="12">
        <v>140000</v>
      </c>
      <c r="E20" s="13">
        <v>3000</v>
      </c>
      <c r="F20" s="12">
        <v>220</v>
      </c>
      <c r="G20" s="13">
        <v>15400</v>
      </c>
      <c r="H20" s="14">
        <f>G20/E20</f>
      </c>
    </row>
    <row r="21" ht="20" customHeight="1" spans="1:8" x14ac:dyDescent="0.25">
      <c r="A21" s="15" t="s">
        <v>33</v>
      </c>
      <c r="B21" s="16" t="s">
        <v>16</v>
      </c>
      <c r="C21" s="17">
        <v>240000</v>
      </c>
      <c r="D21" s="17">
        <v>110000</v>
      </c>
      <c r="E21" s="18">
        <v>2400</v>
      </c>
      <c r="F21" s="17">
        <v>210</v>
      </c>
      <c r="G21" s="18">
        <v>12600</v>
      </c>
      <c r="H21" s="19">
        <f>G21/E21</f>
      </c>
    </row>
    <row r="22" ht="24" customHeight="1" spans="1:8" x14ac:dyDescent="0.25">
      <c r="A22" s="20" t="s">
        <v>34</v>
      </c>
      <c r="B22" s="21" t="s">
        <v>35</v>
      </c>
      <c r="C22" s="22">
        <f>SUM(C8:C21)</f>
      </c>
      <c r="D22" s="22">
        <f>SUM(D8:D21)</f>
      </c>
      <c r="E22" s="23">
        <f>SUM(E8:E21)</f>
      </c>
      <c r="F22" s="22">
        <f>SUM(F8:F21)</f>
      </c>
      <c r="G22" s="23">
        <f>SUM(G8:G21)</f>
      </c>
      <c r="H22" s="24">
        <f>G22/E22</f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2026-10-16T14:50:27Z</dcterms:created>
  <dcterms:modified xsi:type="dcterms:W3CDTF">2026-10-16T14:50:27Z</dcterms:modified>
</cp:coreProperties>
</file>
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ile Sprint Roadmap" state="visible" r:id="rId4"/>
  </sheets>
  <calcPr calcId="171027"/>
</workbook>
</file>

<file path=xl/sharedStrings.xml><?xml version="1.0" encoding="utf-8"?>
<sst xmlns="http://schemas.openxmlformats.org/spreadsheetml/2006/main" count="111" uniqueCount="75">
  <si>
    <t>AGILE SPRINT BACKLOG, STORY POINTS, VELOCITY &amp; PRODUCT LAUNCH ROADMAP</t>
  </si>
  <si>
    <t>Engineering &amp; Product Release Tracker with Sprint Capacity, Completion % &amp; Risk Flags</t>
  </si>
  <si>
    <t>TOTAL STORY POINTS</t>
  </si>
  <si>
    <t>COMPLETED POINTS (VELOCITY)</t>
  </si>
  <si>
    <t>OVERALL COMPLETION %</t>
  </si>
  <si>
    <t>COMPLETED EPICS/STORIES</t>
  </si>
  <si>
    <t>TOTAL EST. ENG HOURS</t>
  </si>
  <si>
    <t>Story ID</t>
  </si>
  <si>
    <t>Epic / Workstream</t>
  </si>
  <si>
    <t>User Story / Deliverable</t>
  </si>
  <si>
    <t>Sprint</t>
  </si>
  <si>
    <t>Owner</t>
  </si>
  <si>
    <t>Story Points</t>
  </si>
  <si>
    <t>Points Completed</t>
  </si>
  <si>
    <t>Completion %</t>
  </si>
  <si>
    <t>Est. Hours</t>
  </si>
  <si>
    <t>Actual Hours</t>
  </si>
  <si>
    <t>Status</t>
  </si>
  <si>
    <t>Priority</t>
  </si>
  <si>
    <t>Delivery Health</t>
  </si>
  <si>
    <t>US-201</t>
  </si>
  <si>
    <t>Auth &amp; SSO</t>
  </si>
  <si>
    <t>OAuth2 + SAML Enterprise Login Flow</t>
  </si>
  <si>
    <t>Sprint 14</t>
  </si>
  <si>
    <t>A. Bahloul</t>
  </si>
  <si>
    <t>P0 - Critical</t>
  </si>
  <si>
    <t>US-202</t>
  </si>
  <si>
    <t>Role-Based Access Control (RBAC) Matrix</t>
  </si>
  <si>
    <t>S. Chen</t>
  </si>
  <si>
    <t>US-203</t>
  </si>
  <si>
    <t>Billing Engine</t>
  </si>
  <si>
    <t>Stripe Subscription &amp; Usage Metering Webhook</t>
  </si>
  <si>
    <t>M. Alvarez</t>
  </si>
  <si>
    <t>US-204</t>
  </si>
  <si>
    <t>Self-Serve Plan Upgrade &amp; Proration UI</t>
  </si>
  <si>
    <t>Sprint 15</t>
  </si>
  <si>
    <t>P1 - High</t>
  </si>
  <si>
    <t>US-205</t>
  </si>
  <si>
    <t>AI Copilot</t>
  </si>
  <si>
    <t>Vector Embeddings Pipeline &amp; RAG Indexing</t>
  </si>
  <si>
    <t>D. Kumar</t>
  </si>
  <si>
    <t>US-206</t>
  </si>
  <si>
    <t>Streaming Prompt Response UI with Citations</t>
  </si>
  <si>
    <t>L. Novak</t>
  </si>
  <si>
    <t>US-207</t>
  </si>
  <si>
    <t>Analytics Hub</t>
  </si>
  <si>
    <t>Executive Cohort Retention &amp; LTV Charting</t>
  </si>
  <si>
    <t>Sprint 16</t>
  </si>
  <si>
    <t>US-208</t>
  </si>
  <si>
    <t>Scheduled CSV/PDF Report Email Dispatcher</t>
  </si>
  <si>
    <t>K. Patel</t>
  </si>
  <si>
    <t>P2 - Medium</t>
  </si>
  <si>
    <t>US-209</t>
  </si>
  <si>
    <t>Mobile App</t>
  </si>
  <si>
    <t>React Native Offline Sync &amp; Local Cache</t>
  </si>
  <si>
    <t>J. Rossi</t>
  </si>
  <si>
    <t>US-210</t>
  </si>
  <si>
    <t>Biometric FaceID Passkey Quick Unlock</t>
  </si>
  <si>
    <t>Sprint 17</t>
  </si>
  <si>
    <t>US-211</t>
  </si>
  <si>
    <t>Integrations</t>
  </si>
  <si>
    <t>Bi-Directional HubSpot &amp; Salesforce CRM Sync</t>
  </si>
  <si>
    <t>US-212</t>
  </si>
  <si>
    <t>Slack &amp; Microsoft Teams Alert Bot</t>
  </si>
  <si>
    <t>US-213</t>
  </si>
  <si>
    <t>Performance</t>
  </si>
  <si>
    <t>Postgres Read-Replica &amp; Redis Query Caching</t>
  </si>
  <si>
    <t>Sprint 18</t>
  </si>
  <si>
    <t>US-214</t>
  </si>
  <si>
    <t>Security &amp; SOC2</t>
  </si>
  <si>
    <t>Automated Audit Trail &amp; Penetration Fixes</t>
  </si>
  <si>
    <t>US-215</t>
  </si>
  <si>
    <t>Launch Ops</t>
  </si>
  <si>
    <t>Public API v2 Documentation &amp; SDK Release</t>
  </si>
  <si>
    <t>ROADMAP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</si>
</sst>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#,##0&quot; hrs&quot;"/>
  </numFmts>
  <fonts count="12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E2E8F0"/>
      <sz val="10"/>
      <name val="Segoe UI"/>
    </font>
    <font>
      <b/>
      <color rgb="FF475569"/>
      <sz val="8"/>
      <name val="Segoe UI"/>
    </font>
    <font>
      <b/>
      <color rgb="FF2563EB"/>
      <sz val="13"/>
      <name val="Segoe UI"/>
    </font>
    <font>
      <b/>
      <color rgb="FF059669"/>
      <sz val="13"/>
      <name val="Segoe UI"/>
    </font>
    <font>
      <b/>
      <color rgb="FF4F46E5"/>
      <sz val="13"/>
      <name val="Segoe UI"/>
    </font>
    <font>
      <b/>
      <color rgb="FFD97706"/>
      <sz val="13"/>
      <name val="Segoe UI"/>
    </font>
    <font>
      <b/>
      <color rgb="FFFFFFFF"/>
      <sz val="10"/>
      <name val="Segoe UI"/>
    </font>
    <font>
      <color rgb="FF0F172A"/>
      <sz val="10"/>
      <name val="Segoe UI"/>
    </font>
    <font>
      <b/>
      <color rgb="FF2563EB"/>
      <sz val="9"/>
      <name val="Segoe UI"/>
    </font>
    <font>
      <b/>
      <color rgb="FF0F172A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1E293B"/>
      </patternFill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F1F5F9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 vertical="center"/>
    </xf>
    <xf numFmtId="165" fontId="7" fillId="4" borderId="2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left" vertical="center"/>
    </xf>
    <xf numFmtId="3" fontId="9" fillId="5" borderId="3" xfId="0" applyNumberFormat="1" applyFont="1" applyFill="1" applyBorder="1" applyAlignment="1">
      <alignment horizontal="right" vertical="center"/>
    </xf>
    <xf numFmtId="164" fontId="9" fillId="5" borderId="3" xfId="0" applyNumberFormat="1" applyFont="1" applyFill="1" applyBorder="1" applyAlignment="1">
      <alignment horizontal="right" vertical="center"/>
    </xf>
    <xf numFmtId="0" fontId="10" fillId="5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left" vertical="center"/>
    </xf>
    <xf numFmtId="3" fontId="9" fillId="6" borderId="3" xfId="0" applyNumberFormat="1" applyFont="1" applyFill="1" applyBorder="1" applyAlignment="1">
      <alignment horizontal="right" vertical="center"/>
    </xf>
    <xf numFmtId="164" fontId="9" fillId="6" borderId="3" xfId="0" applyNumberFormat="1" applyFont="1" applyFill="1" applyBorder="1" applyAlignment="1">
      <alignment horizontal="right" vertical="center"/>
    </xf>
    <xf numFmtId="0" fontId="10" fillId="6" borderId="3" xfId="0" applyFont="1" applyFill="1" applyBorder="1" applyAlignment="1">
      <alignment horizontal="center" vertical="center"/>
    </xf>
    <xf numFmtId="0" fontId="11" fillId="4" borderId="4" xfId="0" applyFont="1" applyFill="1" applyBorder="1"/>
    <xf numFmtId="3" fontId="11" fillId="4" borderId="4" xfId="0" applyNumberFormat="1" applyFont="1" applyFill="1" applyBorder="1"/>
    <xf numFmtId="164" fontId="11" fillId="4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1" customWidth="1"/>
    <col min="3" max="3" width="34" customWidth="1"/>
    <col min="4" max="4" width="13" customWidth="1"/>
    <col min="5" max="5" width="14" customWidth="1"/>
    <col min="6" max="6" width="16" customWidth="1"/>
    <col min="7" max="7" width="20" customWidth="1"/>
    <col min="8" max="8" width="16" customWidth="1"/>
    <col min="9" max="9" width="14" customWidth="1"/>
    <col min="10" max="10" width="16" customWidth="1"/>
    <col min="11" max="11" width="14" customWidth="1"/>
    <col min="12" max="12" width="17" customWidth="1"/>
    <col min="13" max="13" width="19" customWidth="1"/>
  </cols>
  <sheetData>
    <row r="1" ht="34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10" customHeight="1" x14ac:dyDescent="0.25"/>
    <row r="4" ht="18" customHeight="1" spans="1:13" x14ac:dyDescent="0.25">
      <c r="A4" s="3" t="s">
        <v>2</v>
      </c>
      <c r="B4" s="3"/>
      <c r="C4" s="3"/>
      <c r="D4" s="3" t="s">
        <v>3</v>
      </c>
      <c r="E4" s="3"/>
      <c r="F4" s="3"/>
      <c r="G4" s="3" t="s">
        <v>4</v>
      </c>
      <c r="H4" s="3"/>
      <c r="I4" s="3"/>
      <c r="J4" s="3" t="s">
        <v>5</v>
      </c>
      <c r="K4" s="3"/>
      <c r="L4" s="3" t="s">
        <v>6</v>
      </c>
      <c r="M4" s="3"/>
    </row>
    <row r="5" ht="28" customHeight="1" spans="1:13" x14ac:dyDescent="0.25">
      <c r="A5" s="4">
        <f>SUM(F8:F22)</f>
      </c>
      <c r="B5" s="4"/>
      <c r="C5" s="4"/>
      <c r="D5" s="5">
        <f>SUM(G8:G22)</f>
      </c>
      <c r="E5" s="5"/>
      <c r="F5" s="5"/>
      <c r="G5" s="6">
        <f>AVERAGE(H8:H22)</f>
      </c>
      <c r="H5" s="6"/>
      <c r="I5" s="6"/>
      <c r="J5" s="5">
        <f>COUNTIF(K8:K22,"Done")</f>
      </c>
      <c r="K5" s="5"/>
      <c r="L5" s="7">
        <f>SUM(I8:I22)</f>
      </c>
      <c r="M5" s="7"/>
    </row>
    <row r="6" ht="10" customHeight="1" x14ac:dyDescent="0.25"/>
    <row r="7" ht="26" customHeight="1" spans="1:13" x14ac:dyDescent="0.25">
      <c r="A7" s="8" t="s">
        <v>7</v>
      </c>
      <c r="B7" s="8" t="s">
        <v>8</v>
      </c>
      <c r="C7" s="9" t="s">
        <v>9</v>
      </c>
      <c r="D7" s="9" t="s">
        <v>10</v>
      </c>
      <c r="E7" s="9" t="s">
        <v>11</v>
      </c>
      <c r="F7" s="9" t="s">
        <v>12</v>
      </c>
      <c r="G7" s="9" t="s">
        <v>13</v>
      </c>
      <c r="H7" s="9" t="s">
        <v>14</v>
      </c>
      <c r="I7" s="9" t="s">
        <v>15</v>
      </c>
      <c r="J7" s="9" t="s">
        <v>16</v>
      </c>
      <c r="K7" s="9" t="s">
        <v>17</v>
      </c>
      <c r="L7" s="9" t="s">
        <v>18</v>
      </c>
      <c r="M7" s="9" t="s">
        <v>19</v>
      </c>
    </row>
    <row r="8" ht="20" customHeight="1" spans="1:13" x14ac:dyDescent="0.25">
      <c r="A8" s="10" t="s">
        <v>20</v>
      </c>
      <c r="B8" s="11" t="s">
        <v>21</v>
      </c>
      <c r="C8" s="11" t="s">
        <v>22</v>
      </c>
      <c r="D8" s="10" t="s">
        <v>23</v>
      </c>
      <c r="E8" s="11" t="s">
        <v>24</v>
      </c>
      <c r="F8" s="12">
        <v>8</v>
      </c>
      <c r="G8" s="12">
        <v>8</v>
      </c>
      <c r="H8" s="13">
        <f>IF(F8&gt;0, G8/F8, 0)</f>
      </c>
      <c r="I8" s="12">
        <f>F8*4</f>
      </c>
      <c r="J8" s="12">
        <v>34</v>
      </c>
      <c r="K8" s="14">
        <f>IF(H8=1,"Done",IF(H8&gt;0,"In Progress","Backlog"))</f>
      </c>
      <c r="L8" s="10" t="s">
        <v>25</v>
      </c>
      <c r="M8" s="14">
        <f>IF(J8&gt;I8*1.15,"Overrun Risk",IF(H8=1,"Delivered","On Track"))</f>
      </c>
    </row>
    <row r="9" ht="20" customHeight="1" spans="1:13" x14ac:dyDescent="0.25">
      <c r="A9" s="15" t="s">
        <v>26</v>
      </c>
      <c r="B9" s="16" t="s">
        <v>21</v>
      </c>
      <c r="C9" s="16" t="s">
        <v>27</v>
      </c>
      <c r="D9" s="15" t="s">
        <v>23</v>
      </c>
      <c r="E9" s="16" t="s">
        <v>28</v>
      </c>
      <c r="F9" s="17">
        <v>5</v>
      </c>
      <c r="G9" s="17">
        <v>5</v>
      </c>
      <c r="H9" s="18">
        <f>IF(F9&gt;0, G9/F9, 0)</f>
      </c>
      <c r="I9" s="17">
        <f>F9*4</f>
      </c>
      <c r="J9" s="17">
        <v>22</v>
      </c>
      <c r="K9" s="19">
        <f>IF(H9=1,"Done",IF(H9&gt;0,"In Progress","Backlog"))</f>
      </c>
      <c r="L9" s="15" t="s">
        <v>25</v>
      </c>
      <c r="M9" s="19">
        <f>IF(J9&gt;I9*1.15,"Overrun Risk",IF(H9=1,"Delivered","On Track"))</f>
      </c>
    </row>
    <row r="10" ht="20" customHeight="1" spans="1:13" x14ac:dyDescent="0.25">
      <c r="A10" s="10" t="s">
        <v>29</v>
      </c>
      <c r="B10" s="11" t="s">
        <v>30</v>
      </c>
      <c r="C10" s="11" t="s">
        <v>31</v>
      </c>
      <c r="D10" s="10" t="s">
        <v>23</v>
      </c>
      <c r="E10" s="11" t="s">
        <v>32</v>
      </c>
      <c r="F10" s="12">
        <v>13</v>
      </c>
      <c r="G10" s="12">
        <v>13</v>
      </c>
      <c r="H10" s="13">
        <f>IF(F10&gt;0, G10/F10, 0)</f>
      </c>
      <c r="I10" s="12">
        <f>F10*4</f>
      </c>
      <c r="J10" s="12">
        <v>52</v>
      </c>
      <c r="K10" s="14">
        <f>IF(H10=1,"Done",IF(H10&gt;0,"In Progress","Backlog"))</f>
      </c>
      <c r="L10" s="10" t="s">
        <v>25</v>
      </c>
      <c r="M10" s="14">
        <f>IF(J10&gt;I10*1.15,"Overrun Risk",IF(H10=1,"Delivered","On Track"))</f>
      </c>
    </row>
    <row r="11" ht="20" customHeight="1" spans="1:13" x14ac:dyDescent="0.25">
      <c r="A11" s="15" t="s">
        <v>33</v>
      </c>
      <c r="B11" s="16" t="s">
        <v>30</v>
      </c>
      <c r="C11" s="16" t="s">
        <v>34</v>
      </c>
      <c r="D11" s="15" t="s">
        <v>35</v>
      </c>
      <c r="E11" s="16" t="s">
        <v>32</v>
      </c>
      <c r="F11" s="17">
        <v>8</v>
      </c>
      <c r="G11" s="17">
        <v>8</v>
      </c>
      <c r="H11" s="18">
        <f>IF(F11&gt;0, G11/F11, 0)</f>
      </c>
      <c r="I11" s="17">
        <f>F11*4</f>
      </c>
      <c r="J11" s="17">
        <v>30</v>
      </c>
      <c r="K11" s="19">
        <f>IF(H11=1,"Done",IF(H11&gt;0,"In Progress","Backlog"))</f>
      </c>
      <c r="L11" s="15" t="s">
        <v>36</v>
      </c>
      <c r="M11" s="19">
        <f>IF(J11&gt;I11*1.15,"Overrun Risk",IF(H11=1,"Delivered","On Track"))</f>
      </c>
    </row>
    <row r="12" ht="20" customHeight="1" spans="1:13" x14ac:dyDescent="0.25">
      <c r="A12" s="10" t="s">
        <v>37</v>
      </c>
      <c r="B12" s="11" t="s">
        <v>38</v>
      </c>
      <c r="C12" s="11" t="s">
        <v>39</v>
      </c>
      <c r="D12" s="10" t="s">
        <v>35</v>
      </c>
      <c r="E12" s="11" t="s">
        <v>40</v>
      </c>
      <c r="F12" s="12">
        <v>13</v>
      </c>
      <c r="G12" s="12">
        <v>10</v>
      </c>
      <c r="H12" s="13">
        <f>IF(F12&gt;0, G12/F12, 0)</f>
      </c>
      <c r="I12" s="12">
        <f>F12*4</f>
      </c>
      <c r="J12" s="12">
        <v>48</v>
      </c>
      <c r="K12" s="14">
        <f>IF(H12=1,"Done",IF(H12&gt;0,"In Progress","Backlog"))</f>
      </c>
      <c r="L12" s="10" t="s">
        <v>25</v>
      </c>
      <c r="M12" s="14">
        <f>IF(J12&gt;I12*1.15,"Overrun Risk",IF(H12=1,"Delivered","On Track"))</f>
      </c>
    </row>
    <row r="13" ht="20" customHeight="1" spans="1:13" x14ac:dyDescent="0.25">
      <c r="A13" s="15" t="s">
        <v>41</v>
      </c>
      <c r="B13" s="16" t="s">
        <v>38</v>
      </c>
      <c r="C13" s="16" t="s">
        <v>42</v>
      </c>
      <c r="D13" s="15" t="s">
        <v>35</v>
      </c>
      <c r="E13" s="16" t="s">
        <v>43</v>
      </c>
      <c r="F13" s="17">
        <v>8</v>
      </c>
      <c r="G13" s="17">
        <v>6</v>
      </c>
      <c r="H13" s="18">
        <f>IF(F13&gt;0, G13/F13, 0)</f>
      </c>
      <c r="I13" s="17">
        <f>F13*4</f>
      </c>
      <c r="J13" s="17">
        <v>29</v>
      </c>
      <c r="K13" s="19">
        <f>IF(H13=1,"Done",IF(H13&gt;0,"In Progress","Backlog"))</f>
      </c>
      <c r="L13" s="15" t="s">
        <v>36</v>
      </c>
      <c r="M13" s="19">
        <f>IF(J13&gt;I13*1.15,"Overrun Risk",IF(H13=1,"Delivered","On Track"))</f>
      </c>
    </row>
    <row r="14" ht="20" customHeight="1" spans="1:13" x14ac:dyDescent="0.25">
      <c r="A14" s="10" t="s">
        <v>44</v>
      </c>
      <c r="B14" s="11" t="s">
        <v>45</v>
      </c>
      <c r="C14" s="11" t="s">
        <v>46</v>
      </c>
      <c r="D14" s="10" t="s">
        <v>47</v>
      </c>
      <c r="E14" s="11" t="s">
        <v>28</v>
      </c>
      <c r="F14" s="12">
        <v>8</v>
      </c>
      <c r="G14" s="12">
        <v>5</v>
      </c>
      <c r="H14" s="13">
        <f>IF(F14&gt;0, G14/F14, 0)</f>
      </c>
      <c r="I14" s="12">
        <f>F14*4</f>
      </c>
      <c r="J14" s="12">
        <v>26</v>
      </c>
      <c r="K14" s="14">
        <f>IF(H14=1,"Done",IF(H14&gt;0,"In Progress","Backlog"))</f>
      </c>
      <c r="L14" s="10" t="s">
        <v>36</v>
      </c>
      <c r="M14" s="14">
        <f>IF(J14&gt;I14*1.15,"Overrun Risk",IF(H14=1,"Delivered","On Track"))</f>
      </c>
    </row>
    <row r="15" ht="20" customHeight="1" spans="1:13" x14ac:dyDescent="0.25">
      <c r="A15" s="15" t="s">
        <v>48</v>
      </c>
      <c r="B15" s="16" t="s">
        <v>45</v>
      </c>
      <c r="C15" s="16" t="s">
        <v>49</v>
      </c>
      <c r="D15" s="15" t="s">
        <v>47</v>
      </c>
      <c r="E15" s="16" t="s">
        <v>50</v>
      </c>
      <c r="F15" s="17">
        <v>5</v>
      </c>
      <c r="G15" s="17">
        <v>5</v>
      </c>
      <c r="H15" s="18">
        <f>IF(F15&gt;0, G15/F15, 0)</f>
      </c>
      <c r="I15" s="17">
        <f>F15*4</f>
      </c>
      <c r="J15" s="17">
        <v>19</v>
      </c>
      <c r="K15" s="19">
        <f>IF(H15=1,"Done",IF(H15&gt;0,"In Progress","Backlog"))</f>
      </c>
      <c r="L15" s="15" t="s">
        <v>51</v>
      </c>
      <c r="M15" s="19">
        <f>IF(J15&gt;I15*1.15,"Overrun Risk",IF(H15=1,"Delivered","On Track"))</f>
      </c>
    </row>
    <row r="16" ht="20" customHeight="1" spans="1:13" x14ac:dyDescent="0.25">
      <c r="A16" s="10" t="s">
        <v>52</v>
      </c>
      <c r="B16" s="11" t="s">
        <v>53</v>
      </c>
      <c r="C16" s="11" t="s">
        <v>54</v>
      </c>
      <c r="D16" s="10" t="s">
        <v>47</v>
      </c>
      <c r="E16" s="11" t="s">
        <v>55</v>
      </c>
      <c r="F16" s="12">
        <v>13</v>
      </c>
      <c r="G16" s="12">
        <v>7</v>
      </c>
      <c r="H16" s="13">
        <f>IF(F16&gt;0, G16/F16, 0)</f>
      </c>
      <c r="I16" s="12">
        <f>F16*4</f>
      </c>
      <c r="J16" s="12">
        <v>45</v>
      </c>
      <c r="K16" s="14">
        <f>IF(H16=1,"Done",IF(H16&gt;0,"In Progress","Backlog"))</f>
      </c>
      <c r="L16" s="10" t="s">
        <v>36</v>
      </c>
      <c r="M16" s="14">
        <f>IF(J16&gt;I16*1.15,"Overrun Risk",IF(H16=1,"Delivered","On Track"))</f>
      </c>
    </row>
    <row r="17" ht="20" customHeight="1" spans="1:13" x14ac:dyDescent="0.25">
      <c r="A17" s="15" t="s">
        <v>56</v>
      </c>
      <c r="B17" s="16" t="s">
        <v>53</v>
      </c>
      <c r="C17" s="16" t="s">
        <v>57</v>
      </c>
      <c r="D17" s="15" t="s">
        <v>58</v>
      </c>
      <c r="E17" s="16" t="s">
        <v>55</v>
      </c>
      <c r="F17" s="17">
        <v>5</v>
      </c>
      <c r="G17" s="17">
        <v>2</v>
      </c>
      <c r="H17" s="18">
        <f>IF(F17&gt;0, G17/F17, 0)</f>
      </c>
      <c r="I17" s="17">
        <f>F17*4</f>
      </c>
      <c r="J17" s="17">
        <v>14</v>
      </c>
      <c r="K17" s="19">
        <f>IF(H17=1,"Done",IF(H17&gt;0,"In Progress","Backlog"))</f>
      </c>
      <c r="L17" s="15" t="s">
        <v>51</v>
      </c>
      <c r="M17" s="19">
        <f>IF(J17&gt;I17*1.15,"Overrun Risk",IF(H17=1,"Delivered","On Track"))</f>
      </c>
    </row>
    <row r="18" ht="20" customHeight="1" spans="1:13" x14ac:dyDescent="0.25">
      <c r="A18" s="10" t="s">
        <v>59</v>
      </c>
      <c r="B18" s="11" t="s">
        <v>60</v>
      </c>
      <c r="C18" s="11" t="s">
        <v>61</v>
      </c>
      <c r="D18" s="10" t="s">
        <v>58</v>
      </c>
      <c r="E18" s="11" t="s">
        <v>24</v>
      </c>
      <c r="F18" s="12">
        <v>13</v>
      </c>
      <c r="G18" s="12">
        <v>4</v>
      </c>
      <c r="H18" s="13">
        <f>IF(F18&gt;0, G18/F18, 0)</f>
      </c>
      <c r="I18" s="12">
        <f>F18*4</f>
      </c>
      <c r="J18" s="12">
        <v>38</v>
      </c>
      <c r="K18" s="14">
        <f>IF(H18=1,"Done",IF(H18&gt;0,"In Progress","Backlog"))</f>
      </c>
      <c r="L18" s="10" t="s">
        <v>36</v>
      </c>
      <c r="M18" s="14">
        <f>IF(J18&gt;I18*1.15,"Overrun Risk",IF(H18=1,"Delivered","On Track"))</f>
      </c>
    </row>
    <row r="19" ht="20" customHeight="1" spans="1:13" x14ac:dyDescent="0.25">
      <c r="A19" s="15" t="s">
        <v>62</v>
      </c>
      <c r="B19" s="16" t="s">
        <v>60</v>
      </c>
      <c r="C19" s="16" t="s">
        <v>63</v>
      </c>
      <c r="D19" s="15" t="s">
        <v>58</v>
      </c>
      <c r="E19" s="16" t="s">
        <v>50</v>
      </c>
      <c r="F19" s="17">
        <v>5</v>
      </c>
      <c r="G19" s="17">
        <v>0</v>
      </c>
      <c r="H19" s="18">
        <f>IF(F19&gt;0, G19/F19, 0)</f>
      </c>
      <c r="I19" s="17">
        <f>F19*4</f>
      </c>
      <c r="J19" s="17">
        <v>8</v>
      </c>
      <c r="K19" s="19">
        <f>IF(H19=1,"Done",IF(H19&gt;0,"In Progress","Backlog"))</f>
      </c>
      <c r="L19" s="15" t="s">
        <v>51</v>
      </c>
      <c r="M19" s="19">
        <f>IF(J19&gt;I19*1.15,"Overrun Risk",IF(H19=1,"Delivered","On Track"))</f>
      </c>
    </row>
    <row r="20" ht="20" customHeight="1" spans="1:13" x14ac:dyDescent="0.25">
      <c r="A20" s="10" t="s">
        <v>64</v>
      </c>
      <c r="B20" s="11" t="s">
        <v>65</v>
      </c>
      <c r="C20" s="11" t="s">
        <v>66</v>
      </c>
      <c r="D20" s="10" t="s">
        <v>67</v>
      </c>
      <c r="E20" s="11" t="s">
        <v>40</v>
      </c>
      <c r="F20" s="12">
        <v>8</v>
      </c>
      <c r="G20" s="12">
        <v>0</v>
      </c>
      <c r="H20" s="13">
        <f>IF(F20&gt;0, G20/F20, 0)</f>
      </c>
      <c r="I20" s="12">
        <f>F20*4</f>
      </c>
      <c r="J20" s="12">
        <v>12</v>
      </c>
      <c r="K20" s="14">
        <f>IF(H20=1,"Done",IF(H20&gt;0,"In Progress","Backlog"))</f>
      </c>
      <c r="L20" s="10" t="s">
        <v>36</v>
      </c>
      <c r="M20" s="14">
        <f>IF(J20&gt;I20*1.15,"Overrun Risk",IF(H20=1,"Delivered","On Track"))</f>
      </c>
    </row>
    <row r="21" ht="20" customHeight="1" spans="1:13" x14ac:dyDescent="0.25">
      <c r="A21" s="15" t="s">
        <v>68</v>
      </c>
      <c r="B21" s="16" t="s">
        <v>69</v>
      </c>
      <c r="C21" s="16" t="s">
        <v>70</v>
      </c>
      <c r="D21" s="15" t="s">
        <v>67</v>
      </c>
      <c r="E21" s="16" t="s">
        <v>24</v>
      </c>
      <c r="F21" s="17">
        <v>8</v>
      </c>
      <c r="G21" s="17">
        <v>8</v>
      </c>
      <c r="H21" s="18">
        <f>IF(F21&gt;0, G21/F21, 0)</f>
      </c>
      <c r="I21" s="17">
        <f>F21*4</f>
      </c>
      <c r="J21" s="17">
        <v>31</v>
      </c>
      <c r="K21" s="19">
        <f>IF(H21=1,"Done",IF(H21&gt;0,"In Progress","Backlog"))</f>
      </c>
      <c r="L21" s="15" t="s">
        <v>25</v>
      </c>
      <c r="M21" s="19">
        <f>IF(J21&gt;I21*1.15,"Overrun Risk",IF(H21=1,"Delivered","On Track"))</f>
      </c>
    </row>
    <row r="22" ht="20" customHeight="1" spans="1:13" x14ac:dyDescent="0.25">
      <c r="A22" s="10" t="s">
        <v>71</v>
      </c>
      <c r="B22" s="11" t="s">
        <v>72</v>
      </c>
      <c r="C22" s="11" t="s">
        <v>73</v>
      </c>
      <c r="D22" s="10" t="s">
        <v>67</v>
      </c>
      <c r="E22" s="11" t="s">
        <v>43</v>
      </c>
      <c r="F22" s="12">
        <v>5</v>
      </c>
      <c r="G22" s="12">
        <v>3</v>
      </c>
      <c r="H22" s="13">
        <f>IF(F22&gt;0, G22/F22, 0)</f>
      </c>
      <c r="I22" s="12">
        <f>F22*4</f>
      </c>
      <c r="J22" s="12">
        <v>16</v>
      </c>
      <c r="K22" s="14">
        <f>IF(H22=1,"Done",IF(H22&gt;0,"In Progress","Backlog"))</f>
      </c>
      <c r="L22" s="10" t="s">
        <v>36</v>
      </c>
      <c r="M22" s="14">
        <f>IF(J22&gt;I22*1.15,"Overrun Risk",IF(H22=1,"Delivered","On Track"))</f>
      </c>
    </row>
    <row r="23" ht="24" customHeight="1" spans="1:13" x14ac:dyDescent="0.25">
      <c r="A23" s="20" t="s">
        <v>74</v>
      </c>
      <c r="B23" s="20"/>
      <c r="C23" s="20"/>
      <c r="D23" s="20"/>
      <c r="E23" s="20"/>
      <c r="F23" s="21">
        <f>SUM(F8:F22)</f>
      </c>
      <c r="G23" s="21">
        <f>SUM(G8:G22)</f>
      </c>
      <c r="H23" s="22">
        <f>AVERAGE(H8:H22)</f>
      </c>
      <c r="I23" s="21">
        <f>SUM(I8:I22)</f>
      </c>
      <c r="J23" s="21">
        <f>SUM(J8:J22)</f>
      </c>
      <c r="K23" s="20">
        <f>COUNTIF(K8:K22,"Done")&amp;" Done"</f>
      </c>
      <c r="L23" s="20"/>
      <c r="M23" s="20">
        <f>IF(SUM(J8:J22)&lt;=SUM(I8:I22),"ON SCHEDULE","WATCH CAPACITY")</f>
      </c>
    </row>
  </sheetData>
  <mergeCells count="12">
    <mergeCell ref="A1:M1"/>
    <mergeCell ref="A2:M2"/>
    <mergeCell ref="A4:C4"/>
    <mergeCell ref="D4:F4"/>
    <mergeCell ref="G4:I4"/>
    <mergeCell ref="J4:K4"/>
    <mergeCell ref="L4:M4"/>
    <mergeCell ref="A5:C5"/>
    <mergeCell ref="D5:F5"/>
    <mergeCell ref="G5:I5"/>
    <mergeCell ref="J5:K5"/>
    <mergeCell ref="L5:M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Sprint Roadmap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2026-10-16T12:24:48Z</dcterms:created>
  <dcterms:modified xsi:type="dcterms:W3CDTF">2026-10-16T12:24:48Z</dcterms:modified>
</cp:coreProperties>
</file>
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&amp; Expense Ledger" state="visible" r:id="rId4"/>
  </sheets>
  <calcPr calcId="171027"/>
</workbook>
</file>

<file path=xl/sharedStrings.xml><?xml version="1.0" encoding="utf-8"?>
<sst xmlns="http://schemas.openxmlformats.org/spreadsheetml/2006/main" count="61" uniqueCount="56">
  <si>
    <t>FREELANCE &amp; SELF-EMPLOYED QUARTERLY TAX ESTIMATOR — DEDUCTIONS &amp; NET TAKE-HOME</t>
  </si>
  <si>
    <t>Schedule C Business Income &amp; Expense Tracker | SE Tax (15.3%), Income Tax Reserve &amp; Net Profit</t>
  </si>
  <si>
    <t>GROSS 1099 / CLIENT REVENUE</t>
  </si>
  <si>
    <t>TOTAL IRS TAX DEDUCTIONS</t>
  </si>
  <si>
    <t>NET TAXABLE BUSINESS PROFIT</t>
  </si>
  <si>
    <t>EST. ANNUAL TAX RESERVE</t>
  </si>
  <si>
    <t>NET TAKE-HOME CASH AFTER TAX</t>
  </si>
  <si>
    <t>Tax Period / Entry</t>
  </si>
  <si>
    <t>Primary Client / Source</t>
  </si>
  <si>
    <t>IRS Expense Category</t>
  </si>
  <si>
    <t>Gross Revenue ($)</t>
  </si>
  <si>
    <t>Deductible Expense ($)</t>
  </si>
  <si>
    <t>Net Taxable Profit ($)</t>
  </si>
  <si>
    <t>SE Tax Reserve (15.3%)</t>
  </si>
  <si>
    <t>Total Tax Reserve (28%)</t>
  </si>
  <si>
    <t>Net Take-Home Pay ($)</t>
  </si>
  <si>
    <t>Q1 — Jan Retainer</t>
  </si>
  <si>
    <t>Apex FinTech Corp</t>
  </si>
  <si>
    <t>Software &amp; SaaS Subscriptions</t>
  </si>
  <si>
    <t>Q1 — Feb Milestone</t>
  </si>
  <si>
    <t>NorthStar Health Systems</t>
  </si>
  <si>
    <t>Home Office &amp; Fiber Internet</t>
  </si>
  <si>
    <t>Q1 — Mar Advisory</t>
  </si>
  <si>
    <t>Vanguard Retail Group</t>
  </si>
  <si>
    <t>Professional Legal &amp; CPA Fees</t>
  </si>
  <si>
    <t>Q2 — Apr Sprint</t>
  </si>
  <si>
    <t>Hardware &amp; MacBook Pro Depr.</t>
  </si>
  <si>
    <t>Q2 — May Launch</t>
  </si>
  <si>
    <t>CloudScale AI Inc.</t>
  </si>
  <si>
    <t>Advertising &amp; Paid Portfolio</t>
  </si>
  <si>
    <t>Q2 — Jun Retainer</t>
  </si>
  <si>
    <t>Horizon Logistics LLC</t>
  </si>
  <si>
    <t>Business Travel &amp; Airfare</t>
  </si>
  <si>
    <t>Q3 — Jul Audit</t>
  </si>
  <si>
    <t>Health Insurance Premium (100%)</t>
  </si>
  <si>
    <t>Q3 — Aug Architecture</t>
  </si>
  <si>
    <t>BlueWave Media Partners</t>
  </si>
  <si>
    <t>Subcontractor &amp; Design Help</t>
  </si>
  <si>
    <t>Q3 — Sep Retainer</t>
  </si>
  <si>
    <t>Coworking &amp; Studio Lease</t>
  </si>
  <si>
    <t>Q4 — Oct Enterprise</t>
  </si>
  <si>
    <t>Summit BioLabs Inc.</t>
  </si>
  <si>
    <t>Continuing Education &amp; Conf.</t>
  </si>
  <si>
    <t>Q4 — Nov Optimization</t>
  </si>
  <si>
    <t>Software &amp; Cloud Hosting AWS</t>
  </si>
  <si>
    <t>Q4 — Dec Year-End</t>
  </si>
  <si>
    <t>Solo 401(k) Employer Match</t>
  </si>
  <si>
    <t>Bonus — Product Licensing</t>
  </si>
  <si>
    <t>Gumroad / Digital Assets</t>
  </si>
  <si>
    <t>Merchant Processing Fees</t>
  </si>
  <si>
    <t>Bonus — Workshop Keynote</t>
  </si>
  <si>
    <t>Global Tech Summit</t>
  </si>
  <si>
    <t>Meals (50% Deductible Cap)</t>
  </si>
  <si>
    <t>ANNUAL TAX &amp; INCOME TOTALS</t>
  </si>
  <si>
    <t>14 Revenue Streams</t>
  </si>
  <si>
    <t>Schedule C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</si>
</sst>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;&quot;-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D1FAE5"/>
      <sz val="10"/>
      <name val="Segoe UI"/>
    </font>
    <font>
      <b/>
      <color rgb="FF064E3B"/>
      <sz val="8"/>
      <name val="Segoe UI"/>
    </font>
    <font>
      <b/>
      <color rgb="FF0F172A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F172A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8">
    <border>
      <left/>
      <right/>
      <top/>
      <bottom/>
      <diagonal/>
    </border>
    <border>
      <left/>
      <right style="thin">
        <color rgb="FF10B981"/>
      </right>
      <top style="medium">
        <color rgb="FF10B981"/>
      </top>
      <bottom/>
      <diagonal/>
    </border>
    <border>
      <left style="thin">
        <color rgb="FF10B981"/>
      </left>
      <right style="thin">
        <color rgb="FF10B981"/>
      </right>
      <top style="medium">
        <color rgb="FF10B981"/>
      </top>
      <bottom/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10B981"/>
      </left>
      <right style="thin">
        <color rgb="FF10B981"/>
      </right>
      <top/>
      <bottom style="medium">
        <color rgb="FF10B98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/>
    </xf>
    <xf numFmtId="164" fontId="6" fillId="5" borderId="6" xfId="0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left" vertical="center"/>
    </xf>
    <xf numFmtId="164" fontId="6" fillId="6" borderId="6" xfId="0" applyNumberFormat="1" applyFont="1" applyFill="1" applyBorder="1" applyAlignment="1">
      <alignment horizontal="right" vertical="center"/>
    </xf>
    <xf numFmtId="0" fontId="7" fillId="7" borderId="7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right" vertical="center"/>
    </xf>
    <xf numFmtId="164" fontId="7" fillId="7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28" customWidth="1"/>
    <col min="4" max="4" width="18" customWidth="1"/>
    <col min="5" max="9" width="20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0" customHeight="1" x14ac:dyDescent="0.25"/>
    <row r="4" ht="18" customHeight="1" spans="1:9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4" t="s">
        <v>5</v>
      </c>
      <c r="H4" s="3" t="s">
        <v>6</v>
      </c>
      <c r="I4" s="3"/>
    </row>
    <row r="5" ht="28" customHeight="1" spans="1:9" x14ac:dyDescent="0.25">
      <c r="A5" s="5">
        <f>SUM(D8:D21)</f>
      </c>
      <c r="B5" s="5"/>
      <c r="C5" s="5">
        <f>SUM(E8:E21)</f>
      </c>
      <c r="D5" s="5"/>
      <c r="E5" s="5">
        <f>SUM(F8:F21)</f>
      </c>
      <c r="F5" s="5"/>
      <c r="G5" s="6">
        <f>SUM(H8:H21)</f>
      </c>
      <c r="H5" s="5">
        <f>SUM(I8:I21)</f>
      </c>
      <c r="I5" s="5"/>
    </row>
    <row r="6" ht="12" customHeight="1" x14ac:dyDescent="0.25"/>
    <row r="7" ht="26" customHeight="1" spans="1:9" x14ac:dyDescent="0.25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</row>
    <row r="8" ht="21" customHeight="1" spans="1:9" x14ac:dyDescent="0.25">
      <c r="A8" s="9" t="s">
        <v>16</v>
      </c>
      <c r="B8" s="9" t="s">
        <v>17</v>
      </c>
      <c r="C8" s="9" t="s">
        <v>18</v>
      </c>
      <c r="D8" s="10">
        <v>16500</v>
      </c>
      <c r="E8" s="10">
        <v>1420</v>
      </c>
      <c r="F8" s="10">
        <f>D8-E8</f>
      </c>
      <c r="G8" s="10">
        <f>IF(F8&gt;0,F8*0.9235*0.153,0)</f>
      </c>
      <c r="H8" s="10">
        <f>IF(F8&gt;0,F8*0.28,0)</f>
      </c>
      <c r="I8" s="10">
        <f>F8-H8</f>
      </c>
    </row>
    <row r="9" ht="21" customHeight="1" spans="1:9" x14ac:dyDescent="0.25">
      <c r="A9" s="11" t="s">
        <v>19</v>
      </c>
      <c r="B9" s="11" t="s">
        <v>20</v>
      </c>
      <c r="C9" s="11" t="s">
        <v>21</v>
      </c>
      <c r="D9" s="12">
        <v>18200</v>
      </c>
      <c r="E9" s="12">
        <v>1180</v>
      </c>
      <c r="F9" s="12">
        <f>D9-E9</f>
      </c>
      <c r="G9" s="12">
        <f>IF(F9&gt;0,F9*0.9235*0.153,0)</f>
      </c>
      <c r="H9" s="12">
        <f>IF(F9&gt;0,F9*0.28,0)</f>
      </c>
      <c r="I9" s="12">
        <f>F9-H9</f>
      </c>
    </row>
    <row r="10" ht="21" customHeight="1" spans="1:9" x14ac:dyDescent="0.25">
      <c r="A10" s="9" t="s">
        <v>22</v>
      </c>
      <c r="B10" s="9" t="s">
        <v>23</v>
      </c>
      <c r="C10" s="9" t="s">
        <v>24</v>
      </c>
      <c r="D10" s="10">
        <v>19400</v>
      </c>
      <c r="E10" s="10">
        <v>2150</v>
      </c>
      <c r="F10" s="10">
        <f>D10-E10</f>
      </c>
      <c r="G10" s="10">
        <f>IF(F10&gt;0,F10*0.9235*0.153,0)</f>
      </c>
      <c r="H10" s="10">
        <f>IF(F10&gt;0,F10*0.28,0)</f>
      </c>
      <c r="I10" s="10">
        <f>F10-H10</f>
      </c>
    </row>
    <row r="11" ht="21" customHeight="1" spans="1:9" x14ac:dyDescent="0.25">
      <c r="A11" s="11" t="s">
        <v>25</v>
      </c>
      <c r="B11" s="11" t="s">
        <v>17</v>
      </c>
      <c r="C11" s="11" t="s">
        <v>26</v>
      </c>
      <c r="D11" s="12">
        <v>17800</v>
      </c>
      <c r="E11" s="12">
        <v>3400</v>
      </c>
      <c r="F11" s="12">
        <f>D11-E11</f>
      </c>
      <c r="G11" s="12">
        <f>IF(F11&gt;0,F11*0.9235*0.153,0)</f>
      </c>
      <c r="H11" s="12">
        <f>IF(F11&gt;0,F11*0.28,0)</f>
      </c>
      <c r="I11" s="12">
        <f>F11-H11</f>
      </c>
    </row>
    <row r="12" ht="21" customHeight="1" spans="1:9" x14ac:dyDescent="0.25">
      <c r="A12" s="9" t="s">
        <v>27</v>
      </c>
      <c r="B12" s="9" t="s">
        <v>28</v>
      </c>
      <c r="C12" s="9" t="s">
        <v>29</v>
      </c>
      <c r="D12" s="10">
        <v>21500</v>
      </c>
      <c r="E12" s="10">
        <v>1650</v>
      </c>
      <c r="F12" s="10">
        <f>D12-E12</f>
      </c>
      <c r="G12" s="10">
        <f>IF(F12&gt;0,F12*0.9235*0.153,0)</f>
      </c>
      <c r="H12" s="10">
        <f>IF(F12&gt;0,F12*0.28,0)</f>
      </c>
      <c r="I12" s="10">
        <f>F12-H12</f>
      </c>
    </row>
    <row r="13" ht="21" customHeight="1" spans="1:9" x14ac:dyDescent="0.25">
      <c r="A13" s="11" t="s">
        <v>30</v>
      </c>
      <c r="B13" s="11" t="s">
        <v>31</v>
      </c>
      <c r="C13" s="11" t="s">
        <v>32</v>
      </c>
      <c r="D13" s="12">
        <v>16900</v>
      </c>
      <c r="E13" s="12">
        <v>2380</v>
      </c>
      <c r="F13" s="12">
        <f>D13-E13</f>
      </c>
      <c r="G13" s="12">
        <f>IF(F13&gt;0,F13*0.9235*0.153,0)</f>
      </c>
      <c r="H13" s="12">
        <f>IF(F13&gt;0,F13*0.28,0)</f>
      </c>
      <c r="I13" s="12">
        <f>F13-H13</f>
      </c>
    </row>
    <row r="14" ht="21" customHeight="1" spans="1:9" x14ac:dyDescent="0.25">
      <c r="A14" s="9" t="s">
        <v>33</v>
      </c>
      <c r="B14" s="9" t="s">
        <v>28</v>
      </c>
      <c r="C14" s="9" t="s">
        <v>34</v>
      </c>
      <c r="D14" s="10">
        <v>22400</v>
      </c>
      <c r="E14" s="10">
        <v>1890</v>
      </c>
      <c r="F14" s="10">
        <f>D14-E14</f>
      </c>
      <c r="G14" s="10">
        <f>IF(F14&gt;0,F14*0.9235*0.153,0)</f>
      </c>
      <c r="H14" s="10">
        <f>IF(F14&gt;0,F14*0.28,0)</f>
      </c>
      <c r="I14" s="10">
        <f>F14-H14</f>
      </c>
    </row>
    <row r="15" ht="21" customHeight="1" spans="1:9" x14ac:dyDescent="0.25">
      <c r="A15" s="11" t="s">
        <v>35</v>
      </c>
      <c r="B15" s="11" t="s">
        <v>36</v>
      </c>
      <c r="C15" s="11" t="s">
        <v>37</v>
      </c>
      <c r="D15" s="12">
        <v>24000</v>
      </c>
      <c r="E15" s="12">
        <v>4200</v>
      </c>
      <c r="F15" s="12">
        <f>D15-E15</f>
      </c>
      <c r="G15" s="12">
        <f>IF(F15&gt;0,F15*0.9235*0.153,0)</f>
      </c>
      <c r="H15" s="12">
        <f>IF(F15&gt;0,F15*0.28,0)</f>
      </c>
      <c r="I15" s="12">
        <f>F15-H15</f>
      </c>
    </row>
    <row r="16" ht="21" customHeight="1" spans="1:9" x14ac:dyDescent="0.25">
      <c r="A16" s="9" t="s">
        <v>38</v>
      </c>
      <c r="B16" s="9" t="s">
        <v>17</v>
      </c>
      <c r="C16" s="9" t="s">
        <v>39</v>
      </c>
      <c r="D16" s="10">
        <v>18500</v>
      </c>
      <c r="E16" s="10">
        <v>1350</v>
      </c>
      <c r="F16" s="10">
        <f>D16-E16</f>
      </c>
      <c r="G16" s="10">
        <f>IF(F16&gt;0,F16*0.9235*0.153,0)</f>
      </c>
      <c r="H16" s="10">
        <f>IF(F16&gt;0,F16*0.28,0)</f>
      </c>
      <c r="I16" s="10">
        <f>F16-H16</f>
      </c>
    </row>
    <row r="17" ht="21" customHeight="1" spans="1:9" x14ac:dyDescent="0.25">
      <c r="A17" s="11" t="s">
        <v>40</v>
      </c>
      <c r="B17" s="11" t="s">
        <v>41</v>
      </c>
      <c r="C17" s="11" t="s">
        <v>42</v>
      </c>
      <c r="D17" s="12">
        <v>25800</v>
      </c>
      <c r="E17" s="12">
        <v>1920</v>
      </c>
      <c r="F17" s="12">
        <f>D17-E17</f>
      </c>
      <c r="G17" s="12">
        <f>IF(F17&gt;0,F17*0.9235*0.153,0)</f>
      </c>
      <c r="H17" s="12">
        <f>IF(F17&gt;0,F17*0.28,0)</f>
      </c>
      <c r="I17" s="12">
        <f>F17-H17</f>
      </c>
    </row>
    <row r="18" ht="21" customHeight="1" spans="1:9" x14ac:dyDescent="0.25">
      <c r="A18" s="9" t="s">
        <v>43</v>
      </c>
      <c r="B18" s="9" t="s">
        <v>28</v>
      </c>
      <c r="C18" s="9" t="s">
        <v>44</v>
      </c>
      <c r="D18" s="10">
        <v>23100</v>
      </c>
      <c r="E18" s="10">
        <v>1540</v>
      </c>
      <c r="F18" s="10">
        <f>D18-E18</f>
      </c>
      <c r="G18" s="10">
        <f>IF(F18&gt;0,F18*0.9235*0.153,0)</f>
      </c>
      <c r="H18" s="10">
        <f>IF(F18&gt;0,F18*0.28,0)</f>
      </c>
      <c r="I18" s="10">
        <f>F18-H18</f>
      </c>
    </row>
    <row r="19" ht="21" customHeight="1" spans="1:9" x14ac:dyDescent="0.25">
      <c r="A19" s="11" t="s">
        <v>45</v>
      </c>
      <c r="B19" s="11" t="s">
        <v>41</v>
      </c>
      <c r="C19" s="11" t="s">
        <v>46</v>
      </c>
      <c r="D19" s="12">
        <v>27500</v>
      </c>
      <c r="E19" s="12">
        <v>6500</v>
      </c>
      <c r="F19" s="12">
        <f>D19-E19</f>
      </c>
      <c r="G19" s="12">
        <f>IF(F19&gt;0,F19*0.9235*0.153,0)</f>
      </c>
      <c r="H19" s="12">
        <f>IF(F19&gt;0,F19*0.28,0)</f>
      </c>
      <c r="I19" s="12">
        <f>F19-H19</f>
      </c>
    </row>
    <row r="20" ht="21" customHeight="1" spans="1:9" x14ac:dyDescent="0.25">
      <c r="A20" s="9" t="s">
        <v>47</v>
      </c>
      <c r="B20" s="9" t="s">
        <v>48</v>
      </c>
      <c r="C20" s="9" t="s">
        <v>49</v>
      </c>
      <c r="D20" s="10">
        <v>8400</v>
      </c>
      <c r="E20" s="10">
        <v>620</v>
      </c>
      <c r="F20" s="10">
        <f>D20-E20</f>
      </c>
      <c r="G20" s="10">
        <f>IF(F20&gt;0,F20*0.9235*0.153,0)</f>
      </c>
      <c r="H20" s="10">
        <f>IF(F20&gt;0,F20*0.28,0)</f>
      </c>
      <c r="I20" s="10">
        <f>F20-H20</f>
      </c>
    </row>
    <row r="21" ht="21" customHeight="1" spans="1:9" x14ac:dyDescent="0.25">
      <c r="A21" s="11" t="s">
        <v>50</v>
      </c>
      <c r="B21" s="11" t="s">
        <v>51</v>
      </c>
      <c r="C21" s="11" t="s">
        <v>52</v>
      </c>
      <c r="D21" s="12">
        <v>6500</v>
      </c>
      <c r="E21" s="12">
        <v>480</v>
      </c>
      <c r="F21" s="12">
        <f>D21-E21</f>
      </c>
      <c r="G21" s="12">
        <f>IF(F21&gt;0,F21*0.9235*0.153,0)</f>
      </c>
      <c r="H21" s="12">
        <f>IF(F21&gt;0,F21*0.28,0)</f>
      </c>
      <c r="I21" s="12">
        <f>F21-H21</f>
      </c>
    </row>
    <row r="22" ht="24" customHeight="1" spans="1:9" x14ac:dyDescent="0.25">
      <c r="A22" s="13" t="s">
        <v>53</v>
      </c>
      <c r="B22" s="14" t="s">
        <v>54</v>
      </c>
      <c r="C22" s="14" t="s">
        <v>55</v>
      </c>
      <c r="D22" s="15">
        <f>SUM(D8:D21)</f>
      </c>
      <c r="E22" s="15">
        <f>SUM(E8:E21)</f>
      </c>
      <c r="F22" s="15">
        <f>SUM(F8:F21)</f>
      </c>
      <c r="G22" s="15">
        <f>SUM(G8:G21)</f>
      </c>
      <c r="H22" s="15">
        <f>SUM(H8:H21)</f>
      </c>
      <c r="I22" s="15">
        <f>SUM(I8:I21)</f>
      </c>
    </row>
  </sheetData>
  <mergeCells count="10">
    <mergeCell ref="A1:I1"/>
    <mergeCell ref="A2:I2"/>
    <mergeCell ref="A4:B4"/>
    <mergeCell ref="C4:D4"/>
    <mergeCell ref="E4:F4"/>
    <mergeCell ref="H4:I4"/>
    <mergeCell ref="A5:B5"/>
    <mergeCell ref="C5:D5"/>
    <mergeCell ref="E5:F5"/>
    <mergeCell ref="H5:I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&amp; Expense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2026-10-16T12:24:21Z</dcterms:created>
  <dcterms:modified xsi:type="dcterms:W3CDTF">2026-10-16T12:24:21Z</dcterms:modified>
</cp:coreProperties>
</file>
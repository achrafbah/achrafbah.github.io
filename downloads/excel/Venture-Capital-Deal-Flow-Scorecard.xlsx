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<sst xmlns="http://schemas.openxmlformats.org/spreadsheetml/2006/main" count="74" uniqueCount="58">
  <si>
    <t>VENTURE CAPITAL DEAL FLOW, VALUATION &amp; INVESTMENT SCORECARD</t>
  </si>
  <si>
    <t>BizTools Executive Financial &amp; Operations Engine • Automated Dynamic Formulas</t>
  </si>
  <si>
    <t>Active Pipeline Deals</t>
  </si>
  <si>
    <t>Total Target Check Size</t>
  </si>
  <si>
    <t>Avg Pre-Money Valuation</t>
  </si>
  <si>
    <t>Avg Weighted Score</t>
  </si>
  <si>
    <t>Startup Company</t>
  </si>
  <si>
    <t>Niche Sector</t>
  </si>
  <si>
    <t>Round Stage</t>
  </si>
  <si>
    <t>Pre-Money Valuation</t>
  </si>
  <si>
    <t>Target Investment</t>
  </si>
  <si>
    <t>Target Ownership</t>
  </si>
  <si>
    <t>Weighted Score</t>
  </si>
  <si>
    <t>Investment Decision</t>
  </si>
  <si>
    <t>NeuralForge AI</t>
  </si>
  <si>
    <t>Enterprise AI</t>
  </si>
  <si>
    <t>Seed</t>
  </si>
  <si>
    <t>Lead Term Sheet</t>
  </si>
  <si>
    <t>CyberSentinel</t>
  </si>
  <si>
    <t>Cybersecurity</t>
  </si>
  <si>
    <t>Series A</t>
  </si>
  <si>
    <t>Due Diligence</t>
  </si>
  <si>
    <t>FinPulse Flow</t>
  </si>
  <si>
    <t>Fintech / B2B</t>
  </si>
  <si>
    <t>Partner Review</t>
  </si>
  <si>
    <t>BioSynth Lab</t>
  </si>
  <si>
    <t>HealthTech / AI</t>
  </si>
  <si>
    <t>Technical Audit</t>
  </si>
  <si>
    <t>SupplyLogix</t>
  </si>
  <si>
    <t>Supply Chain SaaS</t>
  </si>
  <si>
    <t>Pre-Seed</t>
  </si>
  <si>
    <t>Reference Checks</t>
  </si>
  <si>
    <t>OmniRetail AI</t>
  </si>
  <si>
    <t>E-Commerce Agent</t>
  </si>
  <si>
    <t>VoltCharge Energy</t>
  </si>
  <si>
    <t>CleanTech / Grid</t>
  </si>
  <si>
    <t>Monitoring</t>
  </si>
  <si>
    <t>QuantumShield</t>
  </si>
  <si>
    <t>Post-Quantum Crypto</t>
  </si>
  <si>
    <t>Term Sheet Issued</t>
  </si>
  <si>
    <t>DevOpsMesh</t>
  </si>
  <si>
    <t>Developer Tools</t>
  </si>
  <si>
    <t>MedVibe Health</t>
  </si>
  <si>
    <t>Remote Patient Care</t>
  </si>
  <si>
    <t>IC Follow-up</t>
  </si>
  <si>
    <t>AgroSens Robotic</t>
  </si>
  <si>
    <t>AgriTech Autonomy</t>
  </si>
  <si>
    <t>Site Visit</t>
  </si>
  <si>
    <t>FleetCarbon AI</t>
  </si>
  <si>
    <t>ESG Logistics</t>
  </si>
  <si>
    <t>Pass / Track</t>
  </si>
  <si>
    <t>LegalGenius AI</t>
  </si>
  <si>
    <t>Legal Tech Agents</t>
  </si>
  <si>
    <t>HyperScale Storage</t>
  </si>
  <si>
    <t>Decentralized Cloud</t>
  </si>
  <si>
    <t>PIPELINE TOTAL</t>
  </si>
  <si>
    <t/>
  </si>
  <si>
    <t>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</si>
</sst>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"/>
    <numFmt numFmtId="165" formatCode="0.0 / 10"/>
    <numFmt numFmtId="166" formatCode="0.0%"/>
    <numFmt numFmtId="167" formatCode="0.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right" vertical="center"/>
    </xf>
    <xf numFmtId="166" fontId="6" fillId="7" borderId="2" xfId="0" applyNumberFormat="1" applyFont="1" applyFill="1" applyBorder="1" applyAlignment="1">
      <alignment horizontal="right" vertical="center"/>
    </xf>
    <xf numFmtId="167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166" fontId="6" fillId="4" borderId="2" xfId="0" applyNumberFormat="1" applyFont="1" applyFill="1" applyBorder="1" applyAlignment="1">
      <alignment horizontal="right" vertical="center"/>
    </xf>
    <xf numFmtId="167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right" vertical="center"/>
    </xf>
    <xf numFmtId="166" fontId="7" fillId="8" borderId="3" xfId="0" applyNumberFormat="1" applyFont="1" applyFill="1" applyBorder="1" applyAlignment="1">
      <alignment horizontal="right" vertical="center"/>
    </xf>
    <xf numFmtId="167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8" customWidth="1"/>
    <col min="2" max="2" width="16" customWidth="1"/>
    <col min="3" max="3" width="12" customWidth="1"/>
    <col min="4" max="4" width="19" customWidth="1"/>
    <col min="5" max="5" width="17" customWidth="1"/>
    <col min="6" max="6" width="16" customWidth="1"/>
    <col min="7" max="7" width="15" customWidth="1"/>
    <col min="8" max="8" width="18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COUNTA(A8:A21)</f>
      </c>
      <c r="B5" s="4"/>
      <c r="C5" s="5">
        <f>SUM(E8:E21)</f>
      </c>
      <c r="D5" s="5"/>
      <c r="E5" s="5">
        <f>AVERAGE(D8:D21)</f>
      </c>
      <c r="F5" s="5"/>
      <c r="G5" s="6">
        <f>AVERAGE(G8:G21)</f>
      </c>
      <c r="H5" s="6"/>
    </row>
    <row r="7" ht="26" customHeight="1" spans="1:8" x14ac:dyDescent="0.25">
      <c r="A7" s="7" t="s">
        <v>6</v>
      </c>
      <c r="B7" s="7" t="s">
        <v>7</v>
      </c>
      <c r="C7" s="8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8" t="s">
        <v>13</v>
      </c>
    </row>
    <row r="8" ht="20" customHeight="1" spans="1:8" x14ac:dyDescent="0.25">
      <c r="A8" s="10" t="s">
        <v>14</v>
      </c>
      <c r="B8" s="10" t="s">
        <v>15</v>
      </c>
      <c r="C8" s="11" t="s">
        <v>16</v>
      </c>
      <c r="D8" s="12">
        <v>12000000</v>
      </c>
      <c r="E8" s="12">
        <v>1500000</v>
      </c>
      <c r="F8" s="13">
        <f>E8/(D8+E8)</f>
      </c>
      <c r="G8" s="14">
        <v>9.2</v>
      </c>
      <c r="H8" s="11" t="s">
        <v>17</v>
      </c>
    </row>
    <row r="9" ht="20" customHeight="1" spans="1:8" x14ac:dyDescent="0.25">
      <c r="A9" s="15" t="s">
        <v>18</v>
      </c>
      <c r="B9" s="15" t="s">
        <v>19</v>
      </c>
      <c r="C9" s="16" t="s">
        <v>20</v>
      </c>
      <c r="D9" s="17">
        <v>28000000</v>
      </c>
      <c r="E9" s="17">
        <v>3500000</v>
      </c>
      <c r="F9" s="18">
        <f>E9/(D9+E9)</f>
      </c>
      <c r="G9" s="19">
        <v>8.7</v>
      </c>
      <c r="H9" s="16" t="s">
        <v>21</v>
      </c>
    </row>
    <row r="10" ht="20" customHeight="1" spans="1:8" x14ac:dyDescent="0.25">
      <c r="A10" s="10" t="s">
        <v>22</v>
      </c>
      <c r="B10" s="10" t="s">
        <v>23</v>
      </c>
      <c r="C10" s="11" t="s">
        <v>16</v>
      </c>
      <c r="D10" s="12">
        <v>9000000</v>
      </c>
      <c r="E10" s="12">
        <v>1200000</v>
      </c>
      <c r="F10" s="13">
        <f>E10/(D10+E10)</f>
      </c>
      <c r="G10" s="14">
        <v>8.4</v>
      </c>
      <c r="H10" s="11" t="s">
        <v>24</v>
      </c>
    </row>
    <row r="11" ht="20" customHeight="1" spans="1:8" x14ac:dyDescent="0.25">
      <c r="A11" s="15" t="s">
        <v>25</v>
      </c>
      <c r="B11" s="15" t="s">
        <v>26</v>
      </c>
      <c r="C11" s="16" t="s">
        <v>20</v>
      </c>
      <c r="D11" s="17">
        <v>35000000</v>
      </c>
      <c r="E11" s="17">
        <v>4000000</v>
      </c>
      <c r="F11" s="18">
        <f>E11/(D11+E11)</f>
      </c>
      <c r="G11" s="19">
        <v>7.9</v>
      </c>
      <c r="H11" s="16" t="s">
        <v>27</v>
      </c>
    </row>
    <row r="12" ht="20" customHeight="1" spans="1:8" x14ac:dyDescent="0.25">
      <c r="A12" s="10" t="s">
        <v>28</v>
      </c>
      <c r="B12" s="10" t="s">
        <v>29</v>
      </c>
      <c r="C12" s="11" t="s">
        <v>30</v>
      </c>
      <c r="D12" s="12">
        <v>5000000</v>
      </c>
      <c r="E12" s="12">
        <v>750000</v>
      </c>
      <c r="F12" s="13">
        <f>E12/(D12+E12)</f>
      </c>
      <c r="G12" s="14">
        <v>8.1</v>
      </c>
      <c r="H12" s="11" t="s">
        <v>31</v>
      </c>
    </row>
    <row r="13" ht="20" customHeight="1" spans="1:8" x14ac:dyDescent="0.25">
      <c r="A13" s="15" t="s">
        <v>32</v>
      </c>
      <c r="B13" s="15" t="s">
        <v>33</v>
      </c>
      <c r="C13" s="16" t="s">
        <v>16</v>
      </c>
      <c r="D13" s="17">
        <v>14000000</v>
      </c>
      <c r="E13" s="17">
        <v>2000000</v>
      </c>
      <c r="F13" s="18">
        <f>E13/(D13+E13)</f>
      </c>
      <c r="G13" s="19">
        <v>9</v>
      </c>
      <c r="H13" s="16" t="s">
        <v>17</v>
      </c>
    </row>
    <row r="14" ht="20" customHeight="1" spans="1:8" x14ac:dyDescent="0.25">
      <c r="A14" s="10" t="s">
        <v>34</v>
      </c>
      <c r="B14" s="10" t="s">
        <v>35</v>
      </c>
      <c r="C14" s="11" t="s">
        <v>20</v>
      </c>
      <c r="D14" s="12">
        <v>40000000</v>
      </c>
      <c r="E14" s="12">
        <v>5000000</v>
      </c>
      <c r="F14" s="13">
        <f>E14/(D14+E14)</f>
      </c>
      <c r="G14" s="14">
        <v>7.5</v>
      </c>
      <c r="H14" s="11" t="s">
        <v>36</v>
      </c>
    </row>
    <row r="15" ht="20" customHeight="1" spans="1:8" x14ac:dyDescent="0.25">
      <c r="A15" s="15" t="s">
        <v>37</v>
      </c>
      <c r="B15" s="15" t="s">
        <v>38</v>
      </c>
      <c r="C15" s="16" t="s">
        <v>16</v>
      </c>
      <c r="D15" s="17">
        <v>16000000</v>
      </c>
      <c r="E15" s="17">
        <v>2200000</v>
      </c>
      <c r="F15" s="18">
        <f>E15/(D15+E15)</f>
      </c>
      <c r="G15" s="19">
        <v>8.8</v>
      </c>
      <c r="H15" s="16" t="s">
        <v>39</v>
      </c>
    </row>
    <row r="16" ht="20" customHeight="1" spans="1:8" x14ac:dyDescent="0.25">
      <c r="A16" s="10" t="s">
        <v>40</v>
      </c>
      <c r="B16" s="10" t="s">
        <v>41</v>
      </c>
      <c r="C16" s="11" t="s">
        <v>20</v>
      </c>
      <c r="D16" s="12">
        <v>22000000</v>
      </c>
      <c r="E16" s="12">
        <v>3000000</v>
      </c>
      <c r="F16" s="13">
        <f>E16/(D16+E16)</f>
      </c>
      <c r="G16" s="14">
        <v>8.3</v>
      </c>
      <c r="H16" s="11" t="s">
        <v>21</v>
      </c>
    </row>
    <row r="17" ht="20" customHeight="1" spans="1:8" x14ac:dyDescent="0.25">
      <c r="A17" s="15" t="s">
        <v>42</v>
      </c>
      <c r="B17" s="15" t="s">
        <v>43</v>
      </c>
      <c r="C17" s="16" t="s">
        <v>16</v>
      </c>
      <c r="D17" s="17">
        <v>8500000</v>
      </c>
      <c r="E17" s="17">
        <v>1100000</v>
      </c>
      <c r="F17" s="18">
        <f>E17/(D17+E17)</f>
      </c>
      <c r="G17" s="19">
        <v>7.8</v>
      </c>
      <c r="H17" s="16" t="s">
        <v>44</v>
      </c>
    </row>
    <row r="18" ht="20" customHeight="1" spans="1:8" x14ac:dyDescent="0.25">
      <c r="A18" s="10" t="s">
        <v>45</v>
      </c>
      <c r="B18" s="10" t="s">
        <v>46</v>
      </c>
      <c r="C18" s="11" t="s">
        <v>16</v>
      </c>
      <c r="D18" s="12">
        <v>11000000</v>
      </c>
      <c r="E18" s="12">
        <v>1400000</v>
      </c>
      <c r="F18" s="13">
        <f>E18/(D18+E18)</f>
      </c>
      <c r="G18" s="14">
        <v>8</v>
      </c>
      <c r="H18" s="11" t="s">
        <v>47</v>
      </c>
    </row>
    <row r="19" ht="20" customHeight="1" spans="1:8" x14ac:dyDescent="0.25">
      <c r="A19" s="15" t="s">
        <v>48</v>
      </c>
      <c r="B19" s="15" t="s">
        <v>49</v>
      </c>
      <c r="C19" s="16" t="s">
        <v>30</v>
      </c>
      <c r="D19" s="17">
        <v>6000000</v>
      </c>
      <c r="E19" s="17">
        <v>800000</v>
      </c>
      <c r="F19" s="18">
        <f>E19/(D19+E19)</f>
      </c>
      <c r="G19" s="19">
        <v>7.2</v>
      </c>
      <c r="H19" s="16" t="s">
        <v>50</v>
      </c>
    </row>
    <row r="20" ht="20" customHeight="1" spans="1:8" x14ac:dyDescent="0.25">
      <c r="A20" s="10" t="s">
        <v>51</v>
      </c>
      <c r="B20" s="10" t="s">
        <v>52</v>
      </c>
      <c r="C20" s="11" t="s">
        <v>16</v>
      </c>
      <c r="D20" s="12">
        <v>13500000</v>
      </c>
      <c r="E20" s="12">
        <v>1800000</v>
      </c>
      <c r="F20" s="13">
        <f>E20/(D20+E20)</f>
      </c>
      <c r="G20" s="14">
        <v>8.9</v>
      </c>
      <c r="H20" s="11" t="s">
        <v>21</v>
      </c>
    </row>
    <row r="21" ht="20" customHeight="1" spans="1:8" x14ac:dyDescent="0.25">
      <c r="A21" s="15" t="s">
        <v>53</v>
      </c>
      <c r="B21" s="15" t="s">
        <v>54</v>
      </c>
      <c r="C21" s="16" t="s">
        <v>20</v>
      </c>
      <c r="D21" s="17">
        <v>32000000</v>
      </c>
      <c r="E21" s="17">
        <v>4000000</v>
      </c>
      <c r="F21" s="18">
        <f>E21/(D21+E21)</f>
      </c>
      <c r="G21" s="19">
        <v>8.5</v>
      </c>
      <c r="H21" s="16" t="s">
        <v>24</v>
      </c>
    </row>
    <row r="22" ht="24" customHeight="1" spans="1:8" x14ac:dyDescent="0.25">
      <c r="A22" s="20" t="s">
        <v>55</v>
      </c>
      <c r="B22" s="20" t="s">
        <v>56</v>
      </c>
      <c r="C22" s="21" t="s">
        <v>56</v>
      </c>
      <c r="D22" s="22">
        <f>SUM(D8:D21)</f>
      </c>
      <c r="E22" s="22">
        <f>SUM(E8:E21)</f>
      </c>
      <c r="F22" s="23">
        <f>AVERAGE(F8:F21)</f>
      </c>
      <c r="G22" s="24">
        <f>AVERAGE(G8:G21)</f>
      </c>
      <c r="H22" s="21" t="s">
        <v>57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
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<sst xmlns="http://schemas.openxmlformats.org/spreadsheetml/2006/main" count="59" uniqueCount="48">
  <si>
    <t>STRATEGIC VENDOR RFP EVALUATION &amp; PROCUREMENT SCORING MATRIX</t>
  </si>
  <si>
    <t>BizTools Executive Financial &amp; Operations Engine • Automated Dynamic Formulas</t>
  </si>
  <si>
    <t>Evaluated Vendors</t>
  </si>
  <si>
    <t>Highest Vendor Score</t>
  </si>
  <si>
    <t>Avg Proposed Price</t>
  </si>
  <si>
    <t>Shortlisted Vendors</t>
  </si>
  <si>
    <t>Supplier / Vendor</t>
  </si>
  <si>
    <t>Category Service</t>
  </si>
  <si>
    <t>Annual Contract ($)</t>
  </si>
  <si>
    <t>Quality Score (35%)</t>
  </si>
  <si>
    <t>SLA Score (25%)</t>
  </si>
  <si>
    <t>Pricing Score (40%)</t>
  </si>
  <si>
    <t>Weighted Total</t>
  </si>
  <si>
    <t>Procurement Status</t>
  </si>
  <si>
    <t>Apex Cloud Services</t>
  </si>
  <si>
    <t>Cloud Hosting</t>
  </si>
  <si>
    <t>Preferred Vendor</t>
  </si>
  <si>
    <t>Vanguard 3PL Express</t>
  </si>
  <si>
    <t>Warehousing &amp; 3PL</t>
  </si>
  <si>
    <t>Quantum Security Audit</t>
  </si>
  <si>
    <t>Cybersecurity</t>
  </si>
  <si>
    <t>Nexus Logistics Corp</t>
  </si>
  <si>
    <t>Freight Transport</t>
  </si>
  <si>
    <t>Alternative</t>
  </si>
  <si>
    <t>Swift Packaging Co.</t>
  </si>
  <si>
    <t>Custom Boxes / Eco</t>
  </si>
  <si>
    <t>Precision Tooling Ltd</t>
  </si>
  <si>
    <t>CNC Hardware</t>
  </si>
  <si>
    <t>Zenith Payment Gateway</t>
  </si>
  <si>
    <t>Fintech Processing</t>
  </si>
  <si>
    <t>Starlight Office Supplies</t>
  </si>
  <si>
    <t>Workplace Supplies</t>
  </si>
  <si>
    <t>Backup Only</t>
  </si>
  <si>
    <t>Atlas Global Legal LLP</t>
  </si>
  <si>
    <t>Corporate Legal</t>
  </si>
  <si>
    <t>MetricPulse Analytics</t>
  </si>
  <si>
    <t>BI Data Pipeline</t>
  </si>
  <si>
    <t>CleanPro Facilities</t>
  </si>
  <si>
    <t>Commercial Cleaning</t>
  </si>
  <si>
    <t>Horizon Marketing Studio</t>
  </si>
  <si>
    <t>Creative Production</t>
  </si>
  <si>
    <t>Titan Fleet Services</t>
  </si>
  <si>
    <t>Vehicle Maintenance</t>
  </si>
  <si>
    <t>SafeGuard Insurance Inc.</t>
  </si>
  <si>
    <t>General Liability</t>
  </si>
  <si>
    <t>PROCUREMENT TOTAL</t>
  </si>
  <si>
    <t/>
  </si>
  <si>
    <t>Evaluated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</si>
</sst>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 / 100"/>
    <numFmt numFmtId="165" formatCode="$#,##0.00"/>
    <numFmt numFmtId="166" formatCode="0.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165" fontId="6" fillId="7" borderId="2" xfId="0" applyNumberFormat="1" applyFont="1" applyFill="1" applyBorder="1" applyAlignment="1">
      <alignment horizontal="right" vertical="center"/>
    </xf>
    <xf numFmtId="166" fontId="6" fillId="7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165" fontId="6" fillId="4" borderId="2" xfId="0" applyNumberFormat="1" applyFont="1" applyFill="1" applyBorder="1" applyAlignment="1">
      <alignment horizontal="right" vertical="center"/>
    </xf>
    <xf numFmtId="166" fontId="6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165" fontId="7" fillId="8" borderId="3" xfId="0" applyNumberFormat="1" applyFont="1" applyFill="1" applyBorder="1" applyAlignment="1">
      <alignment horizontal="right" vertical="center"/>
    </xf>
    <xf numFmtId="166" fontId="7" fillId="8" borderId="3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20" customWidth="1"/>
    <col min="2" max="2" width="16" customWidth="1"/>
    <col min="3" max="3" width="18" customWidth="1"/>
    <col min="4" max="4" width="17" customWidth="1"/>
    <col min="5" max="5" width="15" customWidth="1"/>
    <col min="6" max="6" width="17" customWidth="1"/>
    <col min="7" max="7" width="16" customWidth="1"/>
    <col min="8" max="8" width="18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COUNTA(A8:A21)</f>
      </c>
      <c r="B5" s="4"/>
      <c r="C5" s="5">
        <f>MAX(G8:G21)</f>
      </c>
      <c r="D5" s="5"/>
      <c r="E5" s="6">
        <f>AVERAGE(C8:C21)</f>
      </c>
      <c r="F5" s="6"/>
      <c r="G5" s="4">
        <f>COUNTIF(H8:H21,"Preferred Vendor")</f>
      </c>
      <c r="H5" s="4"/>
    </row>
    <row r="7" ht="26" customHeight="1" spans="1:8" x14ac:dyDescent="0.25">
      <c r="A7" s="7" t="s">
        <v>6</v>
      </c>
      <c r="B7" s="7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9" t="s">
        <v>13</v>
      </c>
    </row>
    <row r="8" ht="20" customHeight="1" spans="1:8" x14ac:dyDescent="0.25">
      <c r="A8" s="10" t="s">
        <v>14</v>
      </c>
      <c r="B8" s="10" t="s">
        <v>15</v>
      </c>
      <c r="C8" s="11">
        <v>48000</v>
      </c>
      <c r="D8" s="12">
        <v>94</v>
      </c>
      <c r="E8" s="12">
        <v>96</v>
      </c>
      <c r="F8" s="12">
        <v>88</v>
      </c>
      <c r="G8" s="12">
        <f>D8*0.35 + E8*0.25 + F8*0.4</f>
      </c>
      <c r="H8" s="13" t="s">
        <v>16</v>
      </c>
    </row>
    <row r="9" ht="20" customHeight="1" spans="1:8" x14ac:dyDescent="0.25">
      <c r="A9" s="14" t="s">
        <v>17</v>
      </c>
      <c r="B9" s="14" t="s">
        <v>18</v>
      </c>
      <c r="C9" s="15">
        <v>115000</v>
      </c>
      <c r="D9" s="16">
        <v>91</v>
      </c>
      <c r="E9" s="16">
        <v>88</v>
      </c>
      <c r="F9" s="16">
        <v>92</v>
      </c>
      <c r="G9" s="16">
        <f>D9*0.35 + E9*0.25 + F9*0.4</f>
      </c>
      <c r="H9" s="17" t="s">
        <v>16</v>
      </c>
    </row>
    <row r="10" ht="20" customHeight="1" spans="1:8" x14ac:dyDescent="0.25">
      <c r="A10" s="10" t="s">
        <v>19</v>
      </c>
      <c r="B10" s="10" t="s">
        <v>20</v>
      </c>
      <c r="C10" s="11">
        <v>35000</v>
      </c>
      <c r="D10" s="12">
        <v>96</v>
      </c>
      <c r="E10" s="12">
        <v>95</v>
      </c>
      <c r="F10" s="12">
        <v>84</v>
      </c>
      <c r="G10" s="12">
        <f>D10*0.35 + E10*0.25 + F10*0.4</f>
      </c>
      <c r="H10" s="13" t="s">
        <v>16</v>
      </c>
    </row>
    <row r="11" ht="20" customHeight="1" spans="1:8" x14ac:dyDescent="0.25">
      <c r="A11" s="14" t="s">
        <v>21</v>
      </c>
      <c r="B11" s="14" t="s">
        <v>22</v>
      </c>
      <c r="C11" s="15">
        <v>82000</v>
      </c>
      <c r="D11" s="16">
        <v>85</v>
      </c>
      <c r="E11" s="16">
        <v>82</v>
      </c>
      <c r="F11" s="16">
        <v>86</v>
      </c>
      <c r="G11" s="16">
        <f>D11*0.35 + E11*0.25 + F11*0.4</f>
      </c>
      <c r="H11" s="17" t="s">
        <v>23</v>
      </c>
    </row>
    <row r="12" ht="20" customHeight="1" spans="1:8" x14ac:dyDescent="0.25">
      <c r="A12" s="10" t="s">
        <v>24</v>
      </c>
      <c r="B12" s="10" t="s">
        <v>25</v>
      </c>
      <c r="C12" s="11">
        <v>28000</v>
      </c>
      <c r="D12" s="12">
        <v>89</v>
      </c>
      <c r="E12" s="12">
        <v>92</v>
      </c>
      <c r="F12" s="12">
        <v>94</v>
      </c>
      <c r="G12" s="12">
        <f>D12*0.35 + E12*0.25 + F12*0.4</f>
      </c>
      <c r="H12" s="13" t="s">
        <v>16</v>
      </c>
    </row>
    <row r="13" ht="20" customHeight="1" spans="1:8" x14ac:dyDescent="0.25">
      <c r="A13" s="14" t="s">
        <v>26</v>
      </c>
      <c r="B13" s="14" t="s">
        <v>27</v>
      </c>
      <c r="C13" s="15">
        <v>95000</v>
      </c>
      <c r="D13" s="16">
        <v>92</v>
      </c>
      <c r="E13" s="16">
        <v>85</v>
      </c>
      <c r="F13" s="16">
        <v>79</v>
      </c>
      <c r="G13" s="16">
        <f>D13*0.35 + E13*0.25 + F13*0.4</f>
      </c>
      <c r="H13" s="17" t="s">
        <v>23</v>
      </c>
    </row>
    <row r="14" ht="20" customHeight="1" spans="1:8" x14ac:dyDescent="0.25">
      <c r="A14" s="10" t="s">
        <v>28</v>
      </c>
      <c r="B14" s="10" t="s">
        <v>29</v>
      </c>
      <c r="C14" s="11">
        <v>54000</v>
      </c>
      <c r="D14" s="12">
        <v>95</v>
      </c>
      <c r="E14" s="12">
        <v>98</v>
      </c>
      <c r="F14" s="12">
        <v>91</v>
      </c>
      <c r="G14" s="12">
        <f>D14*0.35 + E14*0.25 + F14*0.4</f>
      </c>
      <c r="H14" s="13" t="s">
        <v>16</v>
      </c>
    </row>
    <row r="15" ht="20" customHeight="1" spans="1:8" x14ac:dyDescent="0.25">
      <c r="A15" s="14" t="s">
        <v>30</v>
      </c>
      <c r="B15" s="14" t="s">
        <v>31</v>
      </c>
      <c r="C15" s="15">
        <v>16000</v>
      </c>
      <c r="D15" s="16">
        <v>82</v>
      </c>
      <c r="E15" s="16">
        <v>80</v>
      </c>
      <c r="F15" s="16">
        <v>85</v>
      </c>
      <c r="G15" s="16">
        <f>D15*0.35 + E15*0.25 + F15*0.4</f>
      </c>
      <c r="H15" s="17" t="s">
        <v>32</v>
      </c>
    </row>
    <row r="16" ht="20" customHeight="1" spans="1:8" x14ac:dyDescent="0.25">
      <c r="A16" s="10" t="s">
        <v>33</v>
      </c>
      <c r="B16" s="10" t="s">
        <v>34</v>
      </c>
      <c r="C16" s="11">
        <v>72000</v>
      </c>
      <c r="D16" s="12">
        <v>96</v>
      </c>
      <c r="E16" s="12">
        <v>94</v>
      </c>
      <c r="F16" s="12">
        <v>76</v>
      </c>
      <c r="G16" s="12">
        <f>D16*0.35 + E16*0.25 + F16*0.4</f>
      </c>
      <c r="H16" s="13" t="s">
        <v>16</v>
      </c>
    </row>
    <row r="17" ht="20" customHeight="1" spans="1:8" x14ac:dyDescent="0.25">
      <c r="A17" s="14" t="s">
        <v>35</v>
      </c>
      <c r="B17" s="14" t="s">
        <v>36</v>
      </c>
      <c r="C17" s="15">
        <v>32000</v>
      </c>
      <c r="D17" s="16">
        <v>90</v>
      </c>
      <c r="E17" s="16">
        <v>88</v>
      </c>
      <c r="F17" s="16">
        <v>90</v>
      </c>
      <c r="G17" s="16">
        <f>D17*0.35 + E17*0.25 + F17*0.4</f>
      </c>
      <c r="H17" s="17" t="s">
        <v>16</v>
      </c>
    </row>
    <row r="18" ht="20" customHeight="1" spans="1:8" x14ac:dyDescent="0.25">
      <c r="A18" s="10" t="s">
        <v>37</v>
      </c>
      <c r="B18" s="10" t="s">
        <v>38</v>
      </c>
      <c r="C18" s="11">
        <v>24000</v>
      </c>
      <c r="D18" s="12">
        <v>84</v>
      </c>
      <c r="E18" s="12">
        <v>82</v>
      </c>
      <c r="F18" s="12">
        <v>88</v>
      </c>
      <c r="G18" s="12">
        <f>D18*0.35 + E18*0.25 + F18*0.4</f>
      </c>
      <c r="H18" s="13" t="s">
        <v>23</v>
      </c>
    </row>
    <row r="19" ht="20" customHeight="1" spans="1:8" x14ac:dyDescent="0.25">
      <c r="A19" s="14" t="s">
        <v>39</v>
      </c>
      <c r="B19" s="14" t="s">
        <v>40</v>
      </c>
      <c r="C19" s="15">
        <v>65000</v>
      </c>
      <c r="D19" s="16">
        <v>93</v>
      </c>
      <c r="E19" s="16">
        <v>86</v>
      </c>
      <c r="F19" s="16">
        <v>85</v>
      </c>
      <c r="G19" s="16">
        <f>D19*0.35 + E19*0.25 + F19*0.4</f>
      </c>
      <c r="H19" s="17" t="s">
        <v>16</v>
      </c>
    </row>
    <row r="20" ht="20" customHeight="1" spans="1:8" x14ac:dyDescent="0.25">
      <c r="A20" s="10" t="s">
        <v>41</v>
      </c>
      <c r="B20" s="10" t="s">
        <v>42</v>
      </c>
      <c r="C20" s="11">
        <v>38000</v>
      </c>
      <c r="D20" s="12">
        <v>86</v>
      </c>
      <c r="E20" s="12">
        <v>84</v>
      </c>
      <c r="F20" s="12">
        <v>82</v>
      </c>
      <c r="G20" s="12">
        <f>D20*0.35 + E20*0.25 + F20*0.4</f>
      </c>
      <c r="H20" s="13" t="s">
        <v>23</v>
      </c>
    </row>
    <row r="21" ht="20" customHeight="1" spans="1:8" x14ac:dyDescent="0.25">
      <c r="A21" s="14" t="s">
        <v>43</v>
      </c>
      <c r="B21" s="14" t="s">
        <v>44</v>
      </c>
      <c r="C21" s="15">
        <v>44000</v>
      </c>
      <c r="D21" s="16">
        <v>92</v>
      </c>
      <c r="E21" s="16">
        <v>95</v>
      </c>
      <c r="F21" s="16">
        <v>89</v>
      </c>
      <c r="G21" s="16">
        <f>D21*0.35 + E21*0.25 + F21*0.4</f>
      </c>
      <c r="H21" s="17" t="s">
        <v>16</v>
      </c>
    </row>
    <row r="22" ht="24" customHeight="1" spans="1:8" x14ac:dyDescent="0.25">
      <c r="A22" s="18" t="s">
        <v>45</v>
      </c>
      <c r="B22" s="18" t="s">
        <v>46</v>
      </c>
      <c r="C22" s="19">
        <f>SUM(C8:C21)</f>
      </c>
      <c r="D22" s="20">
        <f>AVERAGE(D8:D21)</f>
      </c>
      <c r="E22" s="20">
        <f>AVERAGE(E8:E21)</f>
      </c>
      <c r="F22" s="20">
        <f>AVERAGE(F8:F21)</f>
      </c>
      <c r="G22" s="20">
        <f>AVERAGE(G8:G21)</f>
      </c>
      <c r="H22" s="21" t="s">
        <v>47</v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2026-10-16T14:50:26Z</dcterms:created>
  <dcterms:modified xsi:type="dcterms:W3CDTF">2026-10-16T14:50:26Z</dcterms:modified>
</cp:coreProperties>
</file>
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p Table &amp; Dilution" state="visible" r:id="rId4"/>
  </sheets>
  <calcPr calcId="171027"/>
</workbook>
</file>

<file path=xl/sharedStrings.xml><?xml version="1.0" encoding="utf-8"?>
<sst xmlns="http://schemas.openxmlformats.org/spreadsheetml/2006/main" count="45" uniqueCount="39">
  <si>
    <t>STARTUP CAP TABLE &amp; DILUTION SIMULATOR — FOUNDER EQUITY, SEED, SERIES A &amp; OPTION POOL</t>
  </si>
  <si>
    <t>Venture Capital Ownership Ledger | Pre/Post-Money Valuation, Fully Diluted Shares &amp; Exit Payouts</t>
  </si>
  <si>
    <t>POST-MONEY VALUATION ($)</t>
  </si>
  <si>
    <t>TOTAL FULLY DILUTED SHARES</t>
  </si>
  <si>
    <t>IMPLIED SERIES A SHARE PRICE</t>
  </si>
  <si>
    <t>FOUNDER COMBINED OWNERSHIP %</t>
  </si>
  <si>
    <t>TOTAL VENTURE CAPITAL RAISED</t>
  </si>
  <si>
    <t>Shareholder / Entity Name</t>
  </si>
  <si>
    <t>Stakeholder Class</t>
  </si>
  <si>
    <t>Capital Invested ($)</t>
  </si>
  <si>
    <t>Founding / Seed Shares</t>
  </si>
  <si>
    <t>Series A New Shares</t>
  </si>
  <si>
    <t>Option Pool Grants</t>
  </si>
  <si>
    <t>Total Fully Diluted Shares</t>
  </si>
  <si>
    <t>Fully Diluted Ownership %</t>
  </si>
  <si>
    <t>Post-Money Implied Value ($)</t>
  </si>
  <si>
    <t>$100M Exit Payout ($)</t>
  </si>
  <si>
    <t>Alex Rivera (CEO &amp; Co-Founder)</t>
  </si>
  <si>
    <t>Founder</t>
  </si>
  <si>
    <t>Samantha Chen (CTO &amp; Co-Founder)</t>
  </si>
  <si>
    <t>Marcus Vance (COO &amp; Co-Founder)</t>
  </si>
  <si>
    <t>Y Combinator / Accelerator</t>
  </si>
  <si>
    <t>Seed Investor</t>
  </si>
  <si>
    <t>First Round Seed Fund LP</t>
  </si>
  <si>
    <t>Apex Angel Syndicate</t>
  </si>
  <si>
    <t>Angel Investor</t>
  </si>
  <si>
    <t>Sequoia / Tier-1 Lead VC (Series A)</t>
  </si>
  <si>
    <t>Series A Preferred</t>
  </si>
  <si>
    <t>Benchmark Co-Invest Partners</t>
  </si>
  <si>
    <t>Strategic Cloud Ventures</t>
  </si>
  <si>
    <t>VP of Engineering (Early Hire #1)</t>
  </si>
  <si>
    <t>Employee ESOP</t>
  </si>
  <si>
    <t>VP of Sales &amp; GTM (Early Hire #2)</t>
  </si>
  <si>
    <t>Advisory Board Equity Pool</t>
  </si>
  <si>
    <t>Advisor Shares</t>
  </si>
  <si>
    <t>Unallocated Employee Option Pool</t>
  </si>
  <si>
    <t>Option Pool Reserve</t>
  </si>
  <si>
    <t>TOTAL FULLY DILUTED CAP TABLE</t>
  </si>
  <si>
    <t>100.0% Allocated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</si>
</sst>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;($#,##0.00);&quot;-&quot;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D1FAE5"/>
      <sz val="10"/>
      <name val="Segoe UI"/>
    </font>
    <font>
      <b/>
      <color rgb="FF064E3B"/>
      <sz val="8"/>
      <name val="Segoe UI"/>
    </font>
    <font>
      <b/>
      <color rgb="FF0F172A"/>
      <sz val="13"/>
      <name val="Segoe UI"/>
    </font>
    <font>
      <b/>
      <color rgb="FFFFFFFF"/>
      <sz val="10"/>
      <name val="Segoe UI"/>
    </font>
    <font>
      <color rgb="FF0F172A"/>
      <sz val="10"/>
      <name val="Segoe UI"/>
    </font>
    <font>
      <b/>
      <color rgb="FF0F172A"/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0FDF4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/>
      <right style="thin">
        <color rgb="FF10B981"/>
      </right>
      <top style="medium">
        <color rgb="FF10B981"/>
      </top>
      <bottom/>
      <diagonal/>
    </border>
    <border>
      <left/>
      <right style="thin">
        <color rgb="FF10B981"/>
      </right>
      <top/>
      <bottom style="medium">
        <color rgb="FF10B981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47857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double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center" vertical="center"/>
    </xf>
    <xf numFmtId="164" fontId="6" fillId="5" borderId="4" xfId="0" applyNumberFormat="1" applyFont="1" applyFill="1" applyBorder="1" applyAlignment="1">
      <alignment horizontal="right" vertical="center"/>
    </xf>
    <xf numFmtId="3" fontId="6" fillId="5" borderId="4" xfId="0" applyNumberFormat="1" applyFont="1" applyFill="1" applyBorder="1" applyAlignment="1">
      <alignment horizontal="right" vertical="center"/>
    </xf>
    <xf numFmtId="165" fontId="6" fillId="5" borderId="4" xfId="0" applyNumberFormat="1" applyFont="1" applyFill="1" applyBorder="1" applyAlignment="1">
      <alignment horizontal="right" vertical="center"/>
    </xf>
    <xf numFmtId="0" fontId="6" fillId="6" borderId="4" xfId="0" applyFont="1" applyFill="1" applyBorder="1" applyAlignment="1">
      <alignment horizontal="left" vertical="center"/>
    </xf>
    <xf numFmtId="0" fontId="6" fillId="6" borderId="4" xfId="0" applyFont="1" applyFill="1" applyBorder="1" applyAlignment="1">
      <alignment horizontal="center" vertical="center"/>
    </xf>
    <xf numFmtId="164" fontId="6" fillId="6" borderId="4" xfId="0" applyNumberFormat="1" applyFont="1" applyFill="1" applyBorder="1" applyAlignment="1">
      <alignment horizontal="right" vertical="center"/>
    </xf>
    <xf numFmtId="3" fontId="6" fillId="6" borderId="4" xfId="0" applyNumberFormat="1" applyFont="1" applyFill="1" applyBorder="1" applyAlignment="1">
      <alignment horizontal="right" vertical="center"/>
    </xf>
    <xf numFmtId="165" fontId="6" fillId="6" borderId="4" xfId="0" applyNumberFormat="1" applyFont="1" applyFill="1" applyBorder="1" applyAlignment="1">
      <alignment horizontal="right" vertical="center"/>
    </xf>
    <xf numFmtId="0" fontId="7" fillId="7" borderId="5" xfId="0" applyFont="1" applyFill="1" applyBorder="1" applyAlignment="1">
      <alignment horizontal="left" vertical="center"/>
    </xf>
    <xf numFmtId="0" fontId="7" fillId="7" borderId="5" xfId="0" applyFont="1" applyFill="1" applyBorder="1" applyAlignment="1">
      <alignment horizontal="right" vertical="center"/>
    </xf>
    <xf numFmtId="164" fontId="7" fillId="7" borderId="5" xfId="0" applyNumberFormat="1" applyFont="1" applyFill="1" applyBorder="1" applyAlignment="1">
      <alignment horizontal="right" vertical="center"/>
    </xf>
    <xf numFmtId="3" fontId="7" fillId="7" borderId="5" xfId="0" applyNumberFormat="1" applyFont="1" applyFill="1" applyBorder="1" applyAlignment="1">
      <alignment horizontal="right" vertical="center"/>
    </xf>
    <xf numFmtId="165" fontId="7" fillId="7" borderId="5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4" width="20" customWidth="1"/>
    <col min="5" max="5" width="19" customWidth="1"/>
    <col min="6" max="6" width="18" customWidth="1"/>
    <col min="7" max="8" width="22" customWidth="1"/>
    <col min="9" max="9" width="24" customWidth="1"/>
    <col min="10" max="10" width="22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10" customHeight="1" x14ac:dyDescent="0.25"/>
    <row r="4" ht="18" customHeight="1" spans="1:10" x14ac:dyDescent="0.25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  <c r="I4" s="3" t="s">
        <v>6</v>
      </c>
      <c r="J4" s="3"/>
    </row>
    <row r="5" ht="28" customHeight="1" spans="1:10" x14ac:dyDescent="0.25">
      <c r="A5" s="4">
        <f>SUM(I8:I20)</f>
      </c>
      <c r="B5" s="4"/>
      <c r="C5" s="5">
        <f>SUM(G8:G20)</f>
      </c>
      <c r="D5" s="5"/>
      <c r="E5" s="4">
        <f>SUM(I8:I20)/SUM(G8:G20)</f>
      </c>
      <c r="F5" s="4"/>
      <c r="G5" s="6">
        <f>SUMIF(B8:B20,"Founder",H8:H20)</f>
      </c>
      <c r="H5" s="6"/>
      <c r="I5" s="4">
        <f>SUM(C8:C20)</f>
      </c>
      <c r="J5" s="4"/>
    </row>
    <row r="6" ht="12" customHeight="1" x14ac:dyDescent="0.25"/>
    <row r="7" ht="26" customHeight="1" spans="1:10" x14ac:dyDescent="0.25">
      <c r="A7" s="7" t="s">
        <v>7</v>
      </c>
      <c r="B7" s="8" t="s">
        <v>8</v>
      </c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8" t="s">
        <v>14</v>
      </c>
      <c r="I7" s="8" t="s">
        <v>15</v>
      </c>
      <c r="J7" s="8" t="s">
        <v>16</v>
      </c>
    </row>
    <row r="8" ht="21" customHeight="1" spans="1:10" x14ac:dyDescent="0.25">
      <c r="A8" s="9" t="s">
        <v>17</v>
      </c>
      <c r="B8" s="10" t="s">
        <v>18</v>
      </c>
      <c r="C8" s="11">
        <v>25000</v>
      </c>
      <c r="D8" s="12">
        <v>3850000</v>
      </c>
      <c r="E8" s="12">
        <v>0</v>
      </c>
      <c r="F8" s="12">
        <v>0</v>
      </c>
      <c r="G8" s="12">
        <f>SUM(D8:F8)</f>
      </c>
      <c r="H8" s="13">
        <f>IF($G$21&gt;0,G8/$G$21,0)</f>
      </c>
      <c r="I8" s="11">
        <f>G8*2.40</f>
      </c>
      <c r="J8" s="11">
        <f>H8*100000000</f>
      </c>
    </row>
    <row r="9" ht="21" customHeight="1" spans="1:10" x14ac:dyDescent="0.25">
      <c r="A9" s="14" t="s">
        <v>19</v>
      </c>
      <c r="B9" s="15" t="s">
        <v>18</v>
      </c>
      <c r="C9" s="16">
        <v>25000</v>
      </c>
      <c r="D9" s="17">
        <v>3450000</v>
      </c>
      <c r="E9" s="17">
        <v>0</v>
      </c>
      <c r="F9" s="17">
        <v>0</v>
      </c>
      <c r="G9" s="17">
        <f>SUM(D9:F9)</f>
      </c>
      <c r="H9" s="18">
        <f>IF($G$21&gt;0,G9/$G$21,0)</f>
      </c>
      <c r="I9" s="16">
        <f>G9*2.40</f>
      </c>
      <c r="J9" s="16">
        <f>H9*100000000</f>
      </c>
    </row>
    <row r="10" ht="21" customHeight="1" spans="1:10" x14ac:dyDescent="0.25">
      <c r="A10" s="9" t="s">
        <v>20</v>
      </c>
      <c r="B10" s="10" t="s">
        <v>18</v>
      </c>
      <c r="C10" s="11">
        <v>15000</v>
      </c>
      <c r="D10" s="12">
        <v>1700000</v>
      </c>
      <c r="E10" s="12">
        <v>0</v>
      </c>
      <c r="F10" s="12">
        <v>0</v>
      </c>
      <c r="G10" s="12">
        <f>SUM(D10:F10)</f>
      </c>
      <c r="H10" s="13">
        <f>IF($G$21&gt;0,G10/$G$21,0)</f>
      </c>
      <c r="I10" s="11">
        <f>G10*2.40</f>
      </c>
      <c r="J10" s="11">
        <f>H10*100000000</f>
      </c>
    </row>
    <row r="11" ht="21" customHeight="1" spans="1:10" x14ac:dyDescent="0.25">
      <c r="A11" s="14" t="s">
        <v>21</v>
      </c>
      <c r="B11" s="15" t="s">
        <v>22</v>
      </c>
      <c r="C11" s="16">
        <v>500000</v>
      </c>
      <c r="D11" s="17">
        <v>850000</v>
      </c>
      <c r="E11" s="17">
        <v>0</v>
      </c>
      <c r="F11" s="17">
        <v>0</v>
      </c>
      <c r="G11" s="17">
        <f>SUM(D11:F11)</f>
      </c>
      <c r="H11" s="18">
        <f>IF($G$21&gt;0,G11/$G$21,0)</f>
      </c>
      <c r="I11" s="16">
        <f>G11*2.40</f>
      </c>
      <c r="J11" s="16">
        <f>H11*100000000</f>
      </c>
    </row>
    <row r="12" ht="21" customHeight="1" spans="1:10" x14ac:dyDescent="0.25">
      <c r="A12" s="9" t="s">
        <v>23</v>
      </c>
      <c r="B12" s="10" t="s">
        <v>22</v>
      </c>
      <c r="C12" s="11">
        <v>1500000</v>
      </c>
      <c r="D12" s="12">
        <v>1650000</v>
      </c>
      <c r="E12" s="12">
        <v>220000</v>
      </c>
      <c r="F12" s="12">
        <v>0</v>
      </c>
      <c r="G12" s="12">
        <f>SUM(D12:F12)</f>
      </c>
      <c r="H12" s="13">
        <f>IF($G$21&gt;0,G12/$G$21,0)</f>
      </c>
      <c r="I12" s="11">
        <f>G12*2.40</f>
      </c>
      <c r="J12" s="11">
        <f>H12*100000000</f>
      </c>
    </row>
    <row r="13" ht="21" customHeight="1" spans="1:10" x14ac:dyDescent="0.25">
      <c r="A13" s="14" t="s">
        <v>24</v>
      </c>
      <c r="B13" s="15" t="s">
        <v>25</v>
      </c>
      <c r="C13" s="16">
        <v>450000</v>
      </c>
      <c r="D13" s="17">
        <v>520000</v>
      </c>
      <c r="E13" s="17">
        <v>0</v>
      </c>
      <c r="F13" s="17">
        <v>0</v>
      </c>
      <c r="G13" s="17">
        <f>SUM(D13:F13)</f>
      </c>
      <c r="H13" s="18">
        <f>IF($G$21&gt;0,G13/$G$21,0)</f>
      </c>
      <c r="I13" s="16">
        <f>G13*2.40</f>
      </c>
      <c r="J13" s="16">
        <f>H13*100000000</f>
      </c>
    </row>
    <row r="14" ht="21" customHeight="1" spans="1:10" x14ac:dyDescent="0.25">
      <c r="A14" s="9" t="s">
        <v>26</v>
      </c>
      <c r="B14" s="10" t="s">
        <v>27</v>
      </c>
      <c r="C14" s="11">
        <v>7500000</v>
      </c>
      <c r="D14" s="12">
        <v>0</v>
      </c>
      <c r="E14" s="12">
        <v>3125000</v>
      </c>
      <c r="F14" s="12">
        <v>0</v>
      </c>
      <c r="G14" s="12">
        <f>SUM(D14:F14)</f>
      </c>
      <c r="H14" s="13">
        <f>IF($G$21&gt;0,G14/$G$21,0)</f>
      </c>
      <c r="I14" s="11">
        <f>G14*2.40</f>
      </c>
      <c r="J14" s="11">
        <f>H14*100000000</f>
      </c>
    </row>
    <row r="15" ht="21" customHeight="1" spans="1:10" x14ac:dyDescent="0.25">
      <c r="A15" s="14" t="s">
        <v>28</v>
      </c>
      <c r="B15" s="15" t="s">
        <v>27</v>
      </c>
      <c r="C15" s="16">
        <v>2500000</v>
      </c>
      <c r="D15" s="17">
        <v>0</v>
      </c>
      <c r="E15" s="17">
        <v>1041667</v>
      </c>
      <c r="F15" s="17">
        <v>0</v>
      </c>
      <c r="G15" s="17">
        <f>SUM(D15:F15)</f>
      </c>
      <c r="H15" s="18">
        <f>IF($G$21&gt;0,G15/$G$21,0)</f>
      </c>
      <c r="I15" s="16">
        <f>G15*2.40</f>
      </c>
      <c r="J15" s="16">
        <f>H15*100000000</f>
      </c>
    </row>
    <row r="16" ht="21" customHeight="1" spans="1:10" x14ac:dyDescent="0.25">
      <c r="A16" s="9" t="s">
        <v>29</v>
      </c>
      <c r="B16" s="10" t="s">
        <v>27</v>
      </c>
      <c r="C16" s="11">
        <v>1200000</v>
      </c>
      <c r="D16" s="12">
        <v>0</v>
      </c>
      <c r="E16" s="12">
        <v>500000</v>
      </c>
      <c r="F16" s="12">
        <v>0</v>
      </c>
      <c r="G16" s="12">
        <f>SUM(D16:F16)</f>
      </c>
      <c r="H16" s="13">
        <f>IF($G$21&gt;0,G16/$G$21,0)</f>
      </c>
      <c r="I16" s="11">
        <f>G16*2.40</f>
      </c>
      <c r="J16" s="11">
        <f>H16*100000000</f>
      </c>
    </row>
    <row r="17" ht="21" customHeight="1" spans="1:10" x14ac:dyDescent="0.25">
      <c r="A17" s="14" t="s">
        <v>30</v>
      </c>
      <c r="B17" s="15" t="s">
        <v>31</v>
      </c>
      <c r="C17" s="16">
        <v>0</v>
      </c>
      <c r="D17" s="17">
        <v>0</v>
      </c>
      <c r="E17" s="17">
        <v>0</v>
      </c>
      <c r="F17" s="17">
        <v>320000</v>
      </c>
      <c r="G17" s="17">
        <f>SUM(D17:F17)</f>
      </c>
      <c r="H17" s="18">
        <f>IF($G$21&gt;0,G17/$G$21,0)</f>
      </c>
      <c r="I17" s="16">
        <f>G17*2.40</f>
      </c>
      <c r="J17" s="16">
        <f>H17*100000000</f>
      </c>
    </row>
    <row r="18" ht="21" customHeight="1" spans="1:10" x14ac:dyDescent="0.25">
      <c r="A18" s="9" t="s">
        <v>32</v>
      </c>
      <c r="B18" s="10" t="s">
        <v>31</v>
      </c>
      <c r="C18" s="11">
        <v>0</v>
      </c>
      <c r="D18" s="12">
        <v>0</v>
      </c>
      <c r="E18" s="12">
        <v>0</v>
      </c>
      <c r="F18" s="12">
        <v>260000</v>
      </c>
      <c r="G18" s="12">
        <f>SUM(D18:F18)</f>
      </c>
      <c r="H18" s="13">
        <f>IF($G$21&gt;0,G18/$G$21,0)</f>
      </c>
      <c r="I18" s="11">
        <f>G18*2.40</f>
      </c>
      <c r="J18" s="11">
        <f>H18*100000000</f>
      </c>
    </row>
    <row r="19" ht="21" customHeight="1" spans="1:10" x14ac:dyDescent="0.25">
      <c r="A19" s="14" t="s">
        <v>33</v>
      </c>
      <c r="B19" s="15" t="s">
        <v>34</v>
      </c>
      <c r="C19" s="16">
        <v>0</v>
      </c>
      <c r="D19" s="17">
        <v>120000</v>
      </c>
      <c r="E19" s="17">
        <v>0</v>
      </c>
      <c r="F19" s="17">
        <v>95000</v>
      </c>
      <c r="G19" s="17">
        <f>SUM(D19:F19)</f>
      </c>
      <c r="H19" s="18">
        <f>IF($G$21&gt;0,G19/$G$21,0)</f>
      </c>
      <c r="I19" s="16">
        <f>G19*2.40</f>
      </c>
      <c r="J19" s="16">
        <f>H19*100000000</f>
      </c>
    </row>
    <row r="20" ht="21" customHeight="1" spans="1:10" x14ac:dyDescent="0.25">
      <c r="A20" s="9" t="s">
        <v>35</v>
      </c>
      <c r="B20" s="10" t="s">
        <v>36</v>
      </c>
      <c r="C20" s="11">
        <v>0</v>
      </c>
      <c r="D20" s="12">
        <v>0</v>
      </c>
      <c r="E20" s="12">
        <v>0</v>
      </c>
      <c r="F20" s="12">
        <v>1325000</v>
      </c>
      <c r="G20" s="12">
        <f>SUM(D20:F20)</f>
      </c>
      <c r="H20" s="13">
        <f>IF($G$21&gt;0,G20/$G$21,0)</f>
      </c>
      <c r="I20" s="11">
        <f>G20*2.40</f>
      </c>
      <c r="J20" s="11">
        <f>H20*100000000</f>
      </c>
    </row>
    <row r="21" ht="24" customHeight="1" spans="1:10" x14ac:dyDescent="0.25">
      <c r="A21" s="19" t="s">
        <v>37</v>
      </c>
      <c r="B21" s="20" t="s">
        <v>38</v>
      </c>
      <c r="C21" s="21">
        <f>SUM(C8:C20)</f>
      </c>
      <c r="D21" s="22">
        <f>SUM(D8:D20)</f>
      </c>
      <c r="E21" s="22">
        <f>SUM(E8:E20)</f>
      </c>
      <c r="F21" s="22">
        <f>SUM(F8:F20)</f>
      </c>
      <c r="G21" s="22">
        <f>SUM(G8:G20)</f>
      </c>
      <c r="H21" s="23">
        <f>SUM(H8:H20)</f>
      </c>
      <c r="I21" s="21">
        <f>SUM(I8:I20)</f>
      </c>
      <c r="J21" s="21">
        <f>SUM(J8:J20)</f>
      </c>
    </row>
  </sheetData>
  <mergeCells count="12">
    <mergeCell ref="A1:J1"/>
    <mergeCell ref="A2:J2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 Table &amp; Dilution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2026-10-16T12:24:21Z</dcterms:created>
  <dcterms:modified xsi:type="dcterms:W3CDTF">2026-10-16T12:24:21Z</dcterms:modified>
</cp:coreProperties>
</file>
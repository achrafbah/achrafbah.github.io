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M SaaS Forecast" state="visible" r:id="rId4"/>
    <sheet sheetId="2" name="Unit Economics &amp; Tiers" state="visible" r:id="rId5"/>
  </sheets>
  <calcPr calcId="171027"/>
</workbook>
</file>

<file path=xl/sharedStrings.xml><?xml version="1.0" encoding="utf-8"?>
<sst xmlns="http://schemas.openxmlformats.org/spreadsheetml/2006/main" count="48" uniqueCount="48">
  <si>
    <t>SAAS FINANCIAL MODEL — MRR, ARR, CHURN, CAC, LTV &amp; 12-MONTH BURN FORECAST</t>
  </si>
  <si>
    <t>Executive Operating Model | Subscription Growth, Unit Economics &amp; Runway Projections</t>
  </si>
  <si>
    <t>ENDING ARR (MONTH 12)</t>
  </si>
  <si>
    <t>12-MO TOTAL NET NEW MRR</t>
  </si>
  <si>
    <t>AVG MONTHLY GROSS MARGIN</t>
  </si>
  <si>
    <t>BLENDED LTV / CAC RATIO</t>
  </si>
  <si>
    <t>12-MO CUMULATIVE NET PROFIT / BURN</t>
  </si>
  <si>
    <t>Forecast Month</t>
  </si>
  <si>
    <t>Active Customers</t>
  </si>
  <si>
    <t>Beginning MRR</t>
  </si>
  <si>
    <t>New Logo MRR</t>
  </si>
  <si>
    <t>Expansion MRR</t>
  </si>
  <si>
    <t>Churned MRR</t>
  </si>
  <si>
    <t>Ending MRR</t>
  </si>
  <si>
    <t>MoM MRR Growth %</t>
  </si>
  <si>
    <t>Gross Margin %</t>
  </si>
  <si>
    <t>Blended CAC ($)</t>
  </si>
  <si>
    <t>Operating Cash Flow / Burn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</si>
  <si>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</si>
  <si>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</si>
  <si>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</si>
  <si>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</si>
  <si>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</si>
  <si>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</si>
  <si>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</si>
  <si>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</si>
  <si>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</si>
  <si>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</si>
  <si>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</si>
  <si>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</si>
  <si>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 (Proj)</t>
  </si>
  <si>
    <t>Feb 2027 (Proj)</t>
  </si>
  <si>
    <t>TOTAL / AVERAGE SUMMARY</t>
  </si>
  <si>
    <t>SAAS PRICING TIERS &amp; UNIT ECONOMICS BENCHMARKS</t>
  </si>
  <si>
    <t>Plan Breakdown, ARPA, Logo Churn &amp; LTV Multiples</t>
  </si>
  <si>
    <t>Subscription Tier</t>
  </si>
  <si>
    <t>Monthly Price ($)</t>
  </si>
  <si>
    <t>Active Seats</t>
  </si>
  <si>
    <t>Monthly MRR ($)</t>
  </si>
  <si>
    <t>Annualized ARR ($)</t>
  </si>
  <si>
    <t>Monthly Churn %</t>
  </si>
  <si>
    <t>Estimated LTV ($)</t>
  </si>
  <si>
    <t>Starter Self-Serve</t>
  </si>
  <si>
    <t>Growth Team Plan</t>
  </si>
  <si>
    <t>Professional Suite</t>
  </si>
  <si>
    <t>Enterprise Standard</t>
  </si>
  <si>
    <t>Enterprise Custom Plus</t>
  </si>
  <si>
    <t>TOTAL / 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</si>
</sst>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;($#,##0.00);&quot;-&quot;"/>
    <numFmt numFmtId="165" formatCode="0.0%"/>
    <numFmt numFmtId="166" formatCode="0.0&quot;x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0F172A"/>
      </patternFill>
    </fill>
  </fills>
  <borders count="6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3" fontId="6" fillId="5" borderId="4" xfId="0" applyNumberFormat="1" applyFont="1" applyFill="1" applyBorder="1" applyAlignment="1">
      <alignment horizontal="right" vertical="center"/>
    </xf>
    <xf numFmtId="164" fontId="6" fillId="5" borderId="4" xfId="0" applyNumberFormat="1" applyFont="1" applyFill="1" applyBorder="1" applyAlignment="1">
      <alignment horizontal="right" vertical="center"/>
    </xf>
    <xf numFmtId="165" fontId="6" fillId="5" borderId="4" xfId="0" applyNumberFormat="1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left" vertical="center"/>
    </xf>
    <xf numFmtId="3" fontId="6" fillId="6" borderId="4" xfId="0" applyNumberFormat="1" applyFont="1" applyFill="1" applyBorder="1" applyAlignment="1">
      <alignment horizontal="right" vertical="center"/>
    </xf>
    <xf numFmtId="164" fontId="6" fillId="6" borderId="4" xfId="0" applyNumberFormat="1" applyFont="1" applyFill="1" applyBorder="1" applyAlignment="1">
      <alignment horizontal="right" vertical="center"/>
    </xf>
    <xf numFmtId="165" fontId="6" fillId="6" borderId="4" xfId="0" applyNumberFormat="1" applyFont="1" applyFill="1" applyBorder="1" applyAlignment="1">
      <alignment horizontal="right" vertical="center"/>
    </xf>
    <xf numFmtId="0" fontId="7" fillId="7" borderId="5" xfId="0" applyFont="1" applyFill="1" applyBorder="1" applyAlignment="1">
      <alignment horizontal="left" vertical="center"/>
    </xf>
    <xf numFmtId="3" fontId="7" fillId="7" borderId="5" xfId="0" applyNumberFormat="1" applyFont="1" applyFill="1" applyBorder="1" applyAlignment="1">
      <alignment horizontal="right" vertical="center"/>
    </xf>
    <xf numFmtId="164" fontId="7" fillId="7" borderId="5" xfId="0" applyNumberFormat="1" applyFont="1" applyFill="1" applyBorder="1" applyAlignment="1">
      <alignment horizontal="right" vertical="center"/>
    </xf>
    <xf numFmtId="165" fontId="7" fillId="7" borderId="5" xfId="0" applyNumberFormat="1" applyFont="1" applyFill="1" applyBorder="1" applyAlignment="1">
      <alignment horizontal="right" vertical="center"/>
    </xf>
    <xf numFmtId="0" fontId="1" fillId="8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5" width="16" customWidth="1"/>
    <col min="6" max="6" width="15" customWidth="1"/>
    <col min="7" max="8" width="17" customWidth="1"/>
    <col min="9" max="10" width="16" customWidth="1"/>
    <col min="11" max="11" width="24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18" customHeight="1" spans="1:11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/>
    </row>
    <row r="5" ht="28" customHeight="1" spans="1:11" x14ac:dyDescent="0.25">
      <c r="A5" s="4">
        <f>G19*12</f>
      </c>
      <c r="B5" s="4"/>
      <c r="C5" s="4">
        <f>SUM(D8:D19)+SUM(E8:E19)-SUM(F8:F19)</f>
      </c>
      <c r="D5" s="4"/>
      <c r="E5" s="5">
        <f>AVERAGE(I8:I19)</f>
      </c>
      <c r="F5" s="5"/>
      <c r="G5" s="6">
        <f>(AVERAGE(G8:G19)/AVERAGE(B8:B19)/0.028)/AVERAGE(J8:J19)</f>
      </c>
      <c r="H5" s="6"/>
      <c r="I5" s="4">
        <f>SUM(K8:K19)</f>
      </c>
      <c r="J5" s="4"/>
      <c r="K5" s="4"/>
    </row>
    <row r="6" ht="12" customHeight="1" x14ac:dyDescent="0.25"/>
    <row r="7" ht="26" customHeight="1" spans="1:11" x14ac:dyDescent="0.25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  <c r="J7" s="8" t="s">
        <v>16</v>
      </c>
      <c r="K7" s="8" t="s">
        <v>17</v>
      </c>
    </row>
    <row r="8" ht="21" customHeight="1" spans="1:11" x14ac:dyDescent="0.25">
      <c r="A8" s="9" t="s">
        <v>18</v>
      </c>
      <c r="B8" s="10">
        <v>140</v>
      </c>
      <c r="C8" s="11">
        <v>42000</v>
      </c>
      <c r="D8" s="11">
        <v>6800</v>
      </c>
      <c r="E8" s="11">
        <v>2100</v>
      </c>
      <c r="F8" s="11">
        <v>1250</v>
      </c>
      <c r="G8" s="11">
        <f>C8+D8+E8-F8</f>
      </c>
      <c r="H8" s="12">
        <f>IF(C8&gt;0,(G8-C8)/C8,0)</f>
      </c>
      <c r="I8" s="12">
        <v>0.81</v>
      </c>
      <c r="J8" s="11">
        <v>410</v>
      </c>
      <c r="K8" s="11">
        <f>(G8*I8)-41500</f>
      </c>
    </row>
    <row r="9" ht="21" customHeight="1" spans="1:11" x14ac:dyDescent="0.25">
      <c r="A9" s="13" t="s">
        <v>19</v>
      </c>
      <c r="B9" s="14">
        <v>156</v>
      </c>
      <c r="C9" s="15">
        <f>G8</f>
      </c>
      <c r="D9" s="15">
        <v>7400</v>
      </c>
      <c r="E9" s="15">
        <v>2450</v>
      </c>
      <c r="F9" s="15">
        <v>1390</v>
      </c>
      <c r="G9" s="15">
        <f>C9+D9+E9-F9</f>
      </c>
      <c r="H9" s="16">
        <f>IF(C9&gt;0,(G9-C9)/C9,0)</f>
      </c>
      <c r="I9" s="16">
        <v>0.815</v>
      </c>
      <c r="J9" s="15">
        <v>405</v>
      </c>
      <c r="K9" s="15">
        <f>(G9*I9)-43200</f>
      </c>
    </row>
    <row r="10" ht="21" customHeight="1" spans="1:11" x14ac:dyDescent="0.25">
      <c r="A10" s="9" t="s">
        <v>20</v>
      </c>
      <c r="B10" s="10">
        <v>174</v>
      </c>
      <c r="C10" s="11">
        <f>G9</f>
      </c>
      <c r="D10" s="11">
        <v>8200</v>
      </c>
      <c r="E10" s="11">
        <v>2900</v>
      </c>
      <c r="F10" s="11">
        <v>1510</v>
      </c>
      <c r="G10" s="11">
        <f>C10+D10+E10-F10</f>
      </c>
      <c r="H10" s="12">
        <f>IF(C10&gt;0,(G10-C10)/C10,0)</f>
      </c>
      <c r="I10" s="12">
        <v>0.82</v>
      </c>
      <c r="J10" s="11">
        <v>398</v>
      </c>
      <c r="K10" s="11">
        <f>(G10*I10)-45800</f>
      </c>
    </row>
    <row r="11" ht="21" customHeight="1" spans="1:11" x14ac:dyDescent="0.25">
      <c r="A11" s="13" t="s">
        <v>21</v>
      </c>
      <c r="B11" s="14">
        <v>195</v>
      </c>
      <c r="C11" s="15">
        <f>G10</f>
      </c>
      <c r="D11" s="15">
        <v>9100</v>
      </c>
      <c r="E11" s="15">
        <v>3400</v>
      </c>
      <c r="F11" s="15">
        <v>1690</v>
      </c>
      <c r="G11" s="15">
        <f>C11+D11+E11-F11</f>
      </c>
      <c r="H11" s="16">
        <f>IF(C11&gt;0,(G11-C11)/C11,0)</f>
      </c>
      <c r="I11" s="16">
        <v>0.825</v>
      </c>
      <c r="J11" s="15">
        <v>392</v>
      </c>
      <c r="K11" s="15">
        <f>(G11*I11)-48500</f>
      </c>
    </row>
    <row r="12" ht="21" customHeight="1" spans="1:11" x14ac:dyDescent="0.25">
      <c r="A12" s="9" t="s">
        <v>22</v>
      </c>
      <c r="B12" s="10">
        <v>219</v>
      </c>
      <c r="C12" s="11">
        <f>G11</f>
      </c>
      <c r="D12" s="11">
        <v>10200</v>
      </c>
      <c r="E12" s="11">
        <v>3950</v>
      </c>
      <c r="F12" s="11">
        <v>1880</v>
      </c>
      <c r="G12" s="11">
        <f>C12+D12+E12-F12</f>
      </c>
      <c r="H12" s="12">
        <f>IF(C12&gt;0,(G12-C12)/C12,0)</f>
      </c>
      <c r="I12" s="12">
        <v>0.83</v>
      </c>
      <c r="J12" s="11">
        <v>385</v>
      </c>
      <c r="K12" s="11">
        <f>(G12*I12)-51200</f>
      </c>
    </row>
    <row r="13" ht="21" customHeight="1" spans="1:11" x14ac:dyDescent="0.25">
      <c r="A13" s="13" t="s">
        <v>23</v>
      </c>
      <c r="B13" s="14">
        <v>246</v>
      </c>
      <c r="C13" s="15">
        <f>G12</f>
      </c>
      <c r="D13" s="15">
        <v>11400</v>
      </c>
      <c r="E13" s="15">
        <v>4500</v>
      </c>
      <c r="F13" s="15">
        <v>2080</v>
      </c>
      <c r="G13" s="15">
        <f>C13+D13+E13-F13</f>
      </c>
      <c r="H13" s="16">
        <f>IF(C13&gt;0,(G13-C13)/C13,0)</f>
      </c>
      <c r="I13" s="16">
        <v>0.835</v>
      </c>
      <c r="J13" s="15">
        <v>380</v>
      </c>
      <c r="K13" s="15">
        <f>(G13*I13)-54900</f>
      </c>
    </row>
    <row r="14" ht="21" customHeight="1" spans="1:11" x14ac:dyDescent="0.25">
      <c r="A14" s="9" t="s">
        <v>24</v>
      </c>
      <c r="B14" s="10">
        <v>276</v>
      </c>
      <c r="C14" s="11">
        <f>G13</f>
      </c>
      <c r="D14" s="11">
        <v>12600</v>
      </c>
      <c r="E14" s="11">
        <v>5200</v>
      </c>
      <c r="F14" s="11">
        <v>2300</v>
      </c>
      <c r="G14" s="11">
        <f>C14+D14+E14-F14</f>
      </c>
      <c r="H14" s="12">
        <f>IF(C14&gt;0,(G14-C14)/C14,0)</f>
      </c>
      <c r="I14" s="12">
        <v>0.84</v>
      </c>
      <c r="J14" s="11">
        <v>376</v>
      </c>
      <c r="K14" s="11">
        <f>(G14*I14)-58400</f>
      </c>
    </row>
    <row r="15" ht="21" customHeight="1" spans="1:11" x14ac:dyDescent="0.25">
      <c r="A15" s="13" t="s">
        <v>25</v>
      </c>
      <c r="B15" s="14">
        <v>310</v>
      </c>
      <c r="C15" s="15">
        <f>G14</f>
      </c>
      <c r="D15" s="15">
        <v>13900</v>
      </c>
      <c r="E15" s="15">
        <v>5950</v>
      </c>
      <c r="F15" s="15">
        <v>2520</v>
      </c>
      <c r="G15" s="15">
        <f>C15+D15+E15-F15</f>
      </c>
      <c r="H15" s="16">
        <f>IF(C15&gt;0,(G15-C15)/C15,0)</f>
      </c>
      <c r="I15" s="16">
        <v>0.842</v>
      </c>
      <c r="J15" s="15">
        <v>372</v>
      </c>
      <c r="K15" s="15">
        <f>(G15*I15)-62100</f>
      </c>
    </row>
    <row r="16" ht="21" customHeight="1" spans="1:11" x14ac:dyDescent="0.25">
      <c r="A16" s="9" t="s">
        <v>26</v>
      </c>
      <c r="B16" s="10">
        <v>348</v>
      </c>
      <c r="C16" s="11">
        <f>G15</f>
      </c>
      <c r="D16" s="11">
        <v>15400</v>
      </c>
      <c r="E16" s="11">
        <v>6800</v>
      </c>
      <c r="F16" s="11">
        <v>2750</v>
      </c>
      <c r="G16" s="11">
        <f>C16+D16+E16-F16</f>
      </c>
      <c r="H16" s="12">
        <f>IF(C16&gt;0,(G16-C16)/C16,0)</f>
      </c>
      <c r="I16" s="12">
        <v>0.845</v>
      </c>
      <c r="J16" s="11">
        <v>368</v>
      </c>
      <c r="K16" s="11">
        <f>(G16*I16)-66800</f>
      </c>
    </row>
    <row r="17" ht="21" customHeight="1" spans="1:11" x14ac:dyDescent="0.25">
      <c r="A17" s="13" t="s">
        <v>27</v>
      </c>
      <c r="B17" s="14">
        <v>390</v>
      </c>
      <c r="C17" s="15">
        <f>G16</f>
      </c>
      <c r="D17" s="15">
        <v>17100</v>
      </c>
      <c r="E17" s="15">
        <v>7700</v>
      </c>
      <c r="F17" s="15">
        <v>2980</v>
      </c>
      <c r="G17" s="15">
        <f>C17+D17+E17-F17</f>
      </c>
      <c r="H17" s="16">
        <f>IF(C17&gt;0,(G17-C17)/C17,0)</f>
      </c>
      <c r="I17" s="16">
        <v>0.848</v>
      </c>
      <c r="J17" s="15">
        <v>365</v>
      </c>
      <c r="K17" s="15">
        <f>(G17*I17)-71500</f>
      </c>
    </row>
    <row r="18" ht="21" customHeight="1" spans="1:11" x14ac:dyDescent="0.25">
      <c r="A18" s="9" t="s">
        <v>28</v>
      </c>
      <c r="B18" s="10">
        <v>437</v>
      </c>
      <c r="C18" s="11">
        <f>G17</f>
      </c>
      <c r="D18" s="11">
        <v>18900</v>
      </c>
      <c r="E18" s="11">
        <v>8750</v>
      </c>
      <c r="F18" s="11">
        <v>3220</v>
      </c>
      <c r="G18" s="11">
        <f>C18+D18+E18-F18</f>
      </c>
      <c r="H18" s="12">
        <f>IF(C18&gt;0,(G18-C18)/C18,0)</f>
      </c>
      <c r="I18" s="12">
        <v>0.85</v>
      </c>
      <c r="J18" s="11">
        <v>360</v>
      </c>
      <c r="K18" s="11">
        <f>(G18*I18)-76900</f>
      </c>
    </row>
    <row r="19" ht="21" customHeight="1" spans="1:11" x14ac:dyDescent="0.25">
      <c r="A19" s="13" t="s">
        <v>29</v>
      </c>
      <c r="B19" s="14">
        <v>489</v>
      </c>
      <c r="C19" s="15">
        <f>G18</f>
      </c>
      <c r="D19" s="15">
        <v>20800</v>
      </c>
      <c r="E19" s="15">
        <v>9900</v>
      </c>
      <c r="F19" s="15">
        <v>3450</v>
      </c>
      <c r="G19" s="15">
        <f>C19+D19+E19-F19</f>
      </c>
      <c r="H19" s="16">
        <f>IF(C19&gt;0,(G19-C19)/C19,0)</f>
      </c>
      <c r="I19" s="16">
        <v>0.855</v>
      </c>
      <c r="J19" s="15">
        <v>355</v>
      </c>
      <c r="K19" s="15">
        <f>(G19*I19)-82400</f>
      </c>
    </row>
    <row r="20" ht="21" customHeight="1" spans="1:11" x14ac:dyDescent="0.25">
      <c r="A20" s="9" t="s">
        <v>30</v>
      </c>
      <c r="B20" s="10">
        <v>545</v>
      </c>
      <c r="C20" s="11">
        <f>G19</f>
      </c>
      <c r="D20" s="11">
        <v>22900</v>
      </c>
      <c r="E20" s="11">
        <v>11200</v>
      </c>
      <c r="F20" s="11">
        <v>3690</v>
      </c>
      <c r="G20" s="11">
        <f>C20+D20+E20-F20</f>
      </c>
      <c r="H20" s="12">
        <f>IF(C20&gt;0,(G20-C20)/C20,0)</f>
      </c>
      <c r="I20" s="12">
        <v>0.858</v>
      </c>
      <c r="J20" s="11">
        <v>352</v>
      </c>
      <c r="K20" s="11">
        <f>(G20*I20)-88200</f>
      </c>
    </row>
    <row r="21" ht="21" customHeight="1" spans="1:11" x14ac:dyDescent="0.25">
      <c r="A21" s="13" t="s">
        <v>31</v>
      </c>
      <c r="B21" s="14">
        <v>608</v>
      </c>
      <c r="C21" s="15">
        <f>G20</f>
      </c>
      <c r="D21" s="15">
        <v>25100</v>
      </c>
      <c r="E21" s="15">
        <v>12600</v>
      </c>
      <c r="F21" s="15">
        <v>3910</v>
      </c>
      <c r="G21" s="15">
        <f>C21+D21+E21-F21</f>
      </c>
      <c r="H21" s="16">
        <f>IF(C21&gt;0,(G21-C21)/C21,0)</f>
      </c>
      <c r="I21" s="16">
        <v>0.86</v>
      </c>
      <c r="J21" s="15">
        <v>348</v>
      </c>
      <c r="K21" s="15">
        <f>(G21*I21)-94500</f>
      </c>
    </row>
    <row r="22" ht="24" customHeight="1" spans="1:11" x14ac:dyDescent="0.25">
      <c r="A22" s="17" t="s">
        <v>32</v>
      </c>
      <c r="B22" s="18">
        <f>AVERAGE(B8:B21)</f>
      </c>
      <c r="C22" s="19">
        <f>C8</f>
      </c>
      <c r="D22" s="19">
        <f>SUM(D8:D21)</f>
      </c>
      <c r="E22" s="19">
        <f>SUM(E8:E21)</f>
      </c>
      <c r="F22" s="19">
        <f>SUM(F8:F21)</f>
      </c>
      <c r="G22" s="19">
        <f>G21</f>
      </c>
      <c r="H22" s="20">
        <f>AVERAGE(H8:H21)</f>
      </c>
      <c r="I22" s="20">
        <f>AVERAGE(I8:I21)</f>
      </c>
      <c r="J22" s="19">
        <f>AVERAGE(J8:J21)</f>
      </c>
      <c r="K22" s="19">
        <f>SUM(K8:K21)</f>
      </c>
    </row>
  </sheetData>
  <mergeCells count="12">
    <mergeCell ref="A1:K1"/>
    <mergeCell ref="A2:K2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4" customWidth="1"/>
    <col min="2" max="2" width="18" customWidth="1"/>
    <col min="3" max="3" width="16" customWidth="1"/>
    <col min="4" max="4" width="18" customWidth="1"/>
    <col min="5" max="5" width="20" customWidth="1"/>
    <col min="6" max="6" width="18" customWidth="1"/>
    <col min="7" max="7" width="20" customWidth="1"/>
  </cols>
  <sheetData>
    <row r="1" ht="32" customHeight="1" spans="1:7" x14ac:dyDescent="0.25">
      <c r="A1" s="21" t="s">
        <v>33</v>
      </c>
      <c r="B1" s="21"/>
      <c r="C1" s="21"/>
      <c r="D1" s="21"/>
      <c r="E1" s="21"/>
      <c r="F1" s="21"/>
      <c r="G1" s="21"/>
    </row>
    <row r="2" ht="20" customHeight="1" spans="1:7" x14ac:dyDescent="0.25">
      <c r="A2" s="22" t="s">
        <v>34</v>
      </c>
      <c r="B2" s="22"/>
      <c r="C2" s="22"/>
      <c r="D2" s="22"/>
      <c r="E2" s="22"/>
      <c r="F2" s="22"/>
      <c r="G2" s="22"/>
    </row>
    <row r="3" ht="10" customHeight="1" x14ac:dyDescent="0.25"/>
    <row r="4" ht="26" customHeight="1" spans="1:7" x14ac:dyDescent="0.25">
      <c r="A4" s="7" t="s">
        <v>35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40</v>
      </c>
      <c r="G4" s="8" t="s">
        <v>41</v>
      </c>
    </row>
    <row r="5" ht="21" customHeight="1" spans="1:7" x14ac:dyDescent="0.25">
      <c r="A5" s="9" t="s">
        <v>42</v>
      </c>
      <c r="B5" s="11">
        <v>49</v>
      </c>
      <c r="C5" s="10">
        <v>210</v>
      </c>
      <c r="D5" s="11">
        <f>B5*C5</f>
      </c>
      <c r="E5" s="11">
        <f>D5*12</f>
      </c>
      <c r="F5" s="12">
        <v>0.035</v>
      </c>
      <c r="G5" s="11">
        <f>IF(F5&gt;0,(B5*0.84)/F5,0)</f>
      </c>
    </row>
    <row r="6" ht="21" customHeight="1" spans="1:7" x14ac:dyDescent="0.25">
      <c r="A6" s="13" t="s">
        <v>43</v>
      </c>
      <c r="B6" s="15">
        <v>149</v>
      </c>
      <c r="C6" s="14">
        <v>185</v>
      </c>
      <c r="D6" s="15">
        <f>B6*C6</f>
      </c>
      <c r="E6" s="15">
        <f>D6*12</f>
      </c>
      <c r="F6" s="16">
        <v>0.024</v>
      </c>
      <c r="G6" s="15">
        <f>IF(F6&gt;0,(B6*0.84)/F6,0)</f>
      </c>
    </row>
    <row r="7" ht="21" customHeight="1" spans="1:7" x14ac:dyDescent="0.25">
      <c r="A7" s="9" t="s">
        <v>44</v>
      </c>
      <c r="B7" s="11">
        <v>349</v>
      </c>
      <c r="C7" s="10">
        <v>130</v>
      </c>
      <c r="D7" s="11">
        <f>B7*C7</f>
      </c>
      <c r="E7" s="11">
        <f>D7*12</f>
      </c>
      <c r="F7" s="12">
        <v>0.016</v>
      </c>
      <c r="G7" s="11">
        <f>IF(F7&gt;0,(B7*0.84)/F7,0)</f>
      </c>
    </row>
    <row r="8" ht="21" customHeight="1" spans="1:7" x14ac:dyDescent="0.25">
      <c r="A8" s="13" t="s">
        <v>45</v>
      </c>
      <c r="B8" s="15">
        <v>999</v>
      </c>
      <c r="C8" s="14">
        <v>64</v>
      </c>
      <c r="D8" s="15">
        <f>B8*C8</f>
      </c>
      <c r="E8" s="15">
        <f>D8*12</f>
      </c>
      <c r="F8" s="16">
        <v>0.009</v>
      </c>
      <c r="G8" s="15">
        <f>IF(F8&gt;0,(B8*0.84)/F8,0)</f>
      </c>
    </row>
    <row r="9" ht="21" customHeight="1" spans="1:7" x14ac:dyDescent="0.25">
      <c r="A9" s="9" t="s">
        <v>46</v>
      </c>
      <c r="B9" s="11">
        <v>2450</v>
      </c>
      <c r="C9" s="10">
        <v>19</v>
      </c>
      <c r="D9" s="11">
        <f>B9*C9</f>
      </c>
      <c r="E9" s="11">
        <f>D9*12</f>
      </c>
      <c r="F9" s="12">
        <v>0.005</v>
      </c>
      <c r="G9" s="11">
        <f>IF(F9&gt;0,(B9*0.84)/F9,0)</f>
      </c>
    </row>
    <row r="10" ht="24" customHeight="1" spans="1:7" x14ac:dyDescent="0.25">
      <c r="A10" s="17" t="s">
        <v>47</v>
      </c>
      <c r="B10" s="19">
        <f>AVERAGE(B5:B9)</f>
      </c>
      <c r="C10" s="18">
        <f>SUM(C5:C9)</f>
      </c>
      <c r="D10" s="19">
        <f>SUM(D5:D9)</f>
      </c>
      <c r="E10" s="19">
        <f>SUM(E5:E9)</f>
      </c>
      <c r="F10" s="20">
        <f>AVERAGE(F5:F9)</f>
      </c>
      <c r="G10" s="19">
        <f>AVERAGE(G5:G9)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12M SaaS Forecast</vt:lpstr>
      <vt:lpstr>Unit Economics &amp; Tiers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Finance Excel Specialist</dc:creator>
  <dc:title/>
  <dc:subject/>
  <dc:description/>
  <cp:keywords/>
  <cp:category/>
  <cp:lastModifiedBy>Unknown</cp:lastModifiedBy>
  <dcterms:created xsi:type="dcterms:W3CDTF">2026-10-16T12:24:20Z</dcterms:created>
  <dcterms:modified xsi:type="dcterms:W3CDTF">2026-10-16T12:24:20Z</dcterms:modified>
</cp:coreProperties>
</file>
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&amp; Model" state="visible" r:id="rId4"/>
  </sheets>
  <calcPr calcId="171027"/>
</workbook>
</file>

<file path=xl/sharedStrings.xml><?xml version="1.0" encoding="utf-8"?>
<sst xmlns="http://schemas.openxmlformats.org/spreadsheetml/2006/main" count="47" uniqueCount="44">
  <si>
    <t>CRYPTOCURRENCY PORTFOLIO &amp; REALIZED TAX GAIN/LOSS MODEL</t>
  </si>
  <si>
    <t>BizTools Executive Financial &amp; Operations Engine • Automated Dynamic Formulas</t>
  </si>
  <si>
    <t>Total Invested</t>
  </si>
  <si>
    <t>Current Value</t>
  </si>
  <si>
    <t>Unrealized P&amp;L</t>
  </si>
  <si>
    <t>Portfolio ROI</t>
  </si>
  <si>
    <t>Asset Name</t>
  </si>
  <si>
    <t>Ticker</t>
  </si>
  <si>
    <t>Holdings</t>
  </si>
  <si>
    <t>Avg Buy Price</t>
  </si>
  <si>
    <t>Cost Basis</t>
  </si>
  <si>
    <t>Current Price</t>
  </si>
  <si>
    <t>Market Value</t>
  </si>
  <si>
    <t>Net Gain/Loss</t>
  </si>
  <si>
    <t>Bitcoin</t>
  </si>
  <si>
    <t>BTC</t>
  </si>
  <si>
    <t>Ethereum</t>
  </si>
  <si>
    <t>ETH</t>
  </si>
  <si>
    <t>Solana</t>
  </si>
  <si>
    <t>SOL</t>
  </si>
  <si>
    <t>Cardano</t>
  </si>
  <si>
    <t>ADA</t>
  </si>
  <si>
    <t>Chainlink</t>
  </si>
  <si>
    <t>LINK</t>
  </si>
  <si>
    <t>Polygon</t>
  </si>
  <si>
    <t>MATIC</t>
  </si>
  <si>
    <t>Avalanche</t>
  </si>
  <si>
    <t>AVAX</t>
  </si>
  <si>
    <t>Polkadot</t>
  </si>
  <si>
    <t>DOT</t>
  </si>
  <si>
    <t>Render Token</t>
  </si>
  <si>
    <t>RNDR</t>
  </si>
  <si>
    <t>Near Protocol</t>
  </si>
  <si>
    <t>NEAR</t>
  </si>
  <si>
    <t>Uniswap</t>
  </si>
  <si>
    <t>UNI</t>
  </si>
  <si>
    <t>Bittensor</t>
  </si>
  <si>
    <t>TAO</t>
  </si>
  <si>
    <t>Fetch.ai</t>
  </si>
  <si>
    <t>FET</t>
  </si>
  <si>
    <t>Sui Network</t>
  </si>
  <si>
    <t>SUI</t>
  </si>
  <si>
    <t>PORTFOLIO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</si>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</sst>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$#,##0.00"/>
    <numFmt numFmtId="165" formatCode="0.0%"/>
    <numFmt numFmtId="166" formatCode="#,##0.0000"/>
  </numFmts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94A3B8"/>
      <sz val="9"/>
    </font>
    <font>
      <b/>
      <color rgb="FF64748B"/>
      <sz val="9"/>
    </font>
    <font>
      <b/>
      <color rgb="FF0F172A"/>
      <sz val="12"/>
    </font>
    <font>
      <b/>
      <color rgb="FFFFFFFF"/>
      <sz val="10"/>
    </font>
    <font>
      <color rgb="FF334155"/>
      <sz val="9.5"/>
    </font>
    <font>
      <b/>
      <color rgb="FF0F172A"/>
      <sz val="10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2E8F0"/>
      </patternFill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medium">
        <color rgb="FF0F172A"/>
      </bottom>
      <diagonal/>
    </border>
    <border>
      <left/>
      <right/>
      <top/>
      <bottom style="thin">
        <color rgb="FFE2E8F0"/>
      </bottom>
      <diagonal/>
    </border>
    <border>
      <left/>
      <right/>
      <top style="medium">
        <color rgb="FF0F172A"/>
      </top>
      <bottom style="double">
        <color rgb="FF0F172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5" fontId="4" fillId="5" borderId="0" xfId="0" applyNumberFormat="1" applyFont="1" applyFill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right" vertical="center"/>
    </xf>
    <xf numFmtId="0" fontId="6" fillId="7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center" vertical="center"/>
    </xf>
    <xf numFmtId="166" fontId="6" fillId="7" borderId="2" xfId="0" applyNumberFormat="1" applyFont="1" applyFill="1" applyBorder="1" applyAlignment="1">
      <alignment horizontal="right" vertical="center"/>
    </xf>
    <xf numFmtId="164" fontId="6" fillId="7" borderId="2" xfId="0" applyNumberFormat="1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6" fontId="6" fillId="4" borderId="2" xfId="0" applyNumberFormat="1" applyFont="1" applyFill="1" applyBorder="1" applyAlignment="1">
      <alignment horizontal="right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166" fontId="7" fillId="8" borderId="3" xfId="0" applyNumberFormat="1" applyFont="1" applyFill="1" applyBorder="1" applyAlignment="1">
      <alignment horizontal="right" vertical="center"/>
    </xf>
    <xf numFmtId="164" fontId="7" fillId="8" borderId="3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15" outlineLevelRow="0" outlineLevelCol="0" x14ac:dyDescent="55"/>
  <cols>
    <col min="1" max="1" width="16" customWidth="1"/>
    <col min="2" max="2" width="10" customWidth="1"/>
    <col min="3" max="3" width="14" customWidth="1"/>
    <col min="4" max="6" width="15" customWidth="1"/>
    <col min="7" max="8" width="16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0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18" customHeight="1" spans="1:8" x14ac:dyDescent="0.25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ht="24" customHeight="1" spans="1:8" x14ac:dyDescent="0.25">
      <c r="A5" s="4">
        <f>SUM(E8:E21)</f>
      </c>
      <c r="B5" s="4"/>
      <c r="C5" s="4">
        <f>SUM(G8:G21)</f>
      </c>
      <c r="D5" s="4"/>
      <c r="E5" s="4">
        <f>F5-B5</f>
      </c>
      <c r="F5" s="4"/>
      <c r="G5" s="5">
        <f>IF(B5&gt;0,G5/B5,0)</f>
      </c>
      <c r="H5" s="5"/>
    </row>
    <row r="7" ht="26" customHeight="1" spans="1:8" x14ac:dyDescent="0.25">
      <c r="A7" s="6" t="s">
        <v>6</v>
      </c>
      <c r="B7" s="7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  <c r="H7" s="8" t="s">
        <v>13</v>
      </c>
    </row>
    <row r="8" ht="20" customHeight="1" spans="1:8" x14ac:dyDescent="0.25">
      <c r="A8" s="9" t="s">
        <v>14</v>
      </c>
      <c r="B8" s="10" t="s">
        <v>15</v>
      </c>
      <c r="C8" s="11">
        <v>1.85</v>
      </c>
      <c r="D8" s="12">
        <v>42500</v>
      </c>
      <c r="E8" s="12">
        <f>C8*D8</f>
      </c>
      <c r="F8" s="12">
        <v>67800</v>
      </c>
      <c r="G8" s="12">
        <f>C8*F8</f>
      </c>
      <c r="H8" s="12">
        <f>G8-E8</f>
      </c>
    </row>
    <row r="9" ht="20" customHeight="1" spans="1:8" x14ac:dyDescent="0.25">
      <c r="A9" s="13" t="s">
        <v>16</v>
      </c>
      <c r="B9" s="14" t="s">
        <v>17</v>
      </c>
      <c r="C9" s="15">
        <v>14.5</v>
      </c>
      <c r="D9" s="16">
        <v>2350</v>
      </c>
      <c r="E9" s="16">
        <f>C9*D9</f>
      </c>
      <c r="F9" s="16">
        <v>3520</v>
      </c>
      <c r="G9" s="16">
        <f>C9*F9</f>
      </c>
      <c r="H9" s="16">
        <f>G9-E9</f>
      </c>
    </row>
    <row r="10" ht="20" customHeight="1" spans="1:8" x14ac:dyDescent="0.25">
      <c r="A10" s="9" t="s">
        <v>18</v>
      </c>
      <c r="B10" s="10" t="s">
        <v>19</v>
      </c>
      <c r="C10" s="11">
        <v>120</v>
      </c>
      <c r="D10" s="12">
        <v>78.5</v>
      </c>
      <c r="E10" s="12">
        <f>C10*D10</f>
      </c>
      <c r="F10" s="12">
        <v>158.4</v>
      </c>
      <c r="G10" s="12">
        <f>C10*F10</f>
      </c>
      <c r="H10" s="12">
        <f>G10-E10</f>
      </c>
    </row>
    <row r="11" ht="20" customHeight="1" spans="1:8" x14ac:dyDescent="0.25">
      <c r="A11" s="13" t="s">
        <v>20</v>
      </c>
      <c r="B11" s="14" t="s">
        <v>21</v>
      </c>
      <c r="C11" s="15">
        <v>15000</v>
      </c>
      <c r="D11" s="16">
        <v>0.42</v>
      </c>
      <c r="E11" s="16">
        <f>C11*D11</f>
      </c>
      <c r="F11" s="16">
        <v>0.58</v>
      </c>
      <c r="G11" s="16">
        <f>C11*F11</f>
      </c>
      <c r="H11" s="16">
        <f>G11-E11</f>
      </c>
    </row>
    <row r="12" ht="20" customHeight="1" spans="1:8" x14ac:dyDescent="0.25">
      <c r="A12" s="9" t="s">
        <v>22</v>
      </c>
      <c r="B12" s="10" t="s">
        <v>23</v>
      </c>
      <c r="C12" s="11">
        <v>650</v>
      </c>
      <c r="D12" s="12">
        <v>12.8</v>
      </c>
      <c r="E12" s="12">
        <f>C12*D12</f>
      </c>
      <c r="F12" s="12">
        <v>19.5</v>
      </c>
      <c r="G12" s="12">
        <f>C12*F12</f>
      </c>
      <c r="H12" s="12">
        <f>G12-E12</f>
      </c>
    </row>
    <row r="13" ht="20" customHeight="1" spans="1:8" x14ac:dyDescent="0.25">
      <c r="A13" s="13" t="s">
        <v>24</v>
      </c>
      <c r="B13" s="14" t="s">
        <v>25</v>
      </c>
      <c r="C13" s="15">
        <v>8500</v>
      </c>
      <c r="D13" s="16">
        <v>0.72</v>
      </c>
      <c r="E13" s="16">
        <f>C13*D13</f>
      </c>
      <c r="F13" s="16">
        <v>0.94</v>
      </c>
      <c r="G13" s="16">
        <f>C13*F13</f>
      </c>
      <c r="H13" s="16">
        <f>G13-E13</f>
      </c>
    </row>
    <row r="14" ht="20" customHeight="1" spans="1:8" x14ac:dyDescent="0.25">
      <c r="A14" s="9" t="s">
        <v>26</v>
      </c>
      <c r="B14" s="10" t="s">
        <v>27</v>
      </c>
      <c r="C14" s="11">
        <v>220</v>
      </c>
      <c r="D14" s="12">
        <v>24.5</v>
      </c>
      <c r="E14" s="12">
        <f>C14*D14</f>
      </c>
      <c r="F14" s="12">
        <v>38.2</v>
      </c>
      <c r="G14" s="12">
        <f>C14*F14</f>
      </c>
      <c r="H14" s="12">
        <f>G14-E14</f>
      </c>
    </row>
    <row r="15" ht="20" customHeight="1" spans="1:8" x14ac:dyDescent="0.25">
      <c r="A15" s="13" t="s">
        <v>28</v>
      </c>
      <c r="B15" s="14" t="s">
        <v>29</v>
      </c>
      <c r="C15" s="15">
        <v>1100</v>
      </c>
      <c r="D15" s="16">
        <v>6.2</v>
      </c>
      <c r="E15" s="16">
        <f>C15*D15</f>
      </c>
      <c r="F15" s="16">
        <v>8.75</v>
      </c>
      <c r="G15" s="16">
        <f>C15*F15</f>
      </c>
      <c r="H15" s="16">
        <f>G15-E15</f>
      </c>
    </row>
    <row r="16" ht="20" customHeight="1" spans="1:8" x14ac:dyDescent="0.25">
      <c r="A16" s="9" t="s">
        <v>30</v>
      </c>
      <c r="B16" s="10" t="s">
        <v>31</v>
      </c>
      <c r="C16" s="11">
        <v>900</v>
      </c>
      <c r="D16" s="12">
        <v>4.1</v>
      </c>
      <c r="E16" s="12">
        <f>C16*D16</f>
      </c>
      <c r="F16" s="12">
        <v>10.4</v>
      </c>
      <c r="G16" s="12">
        <f>C16*F16</f>
      </c>
      <c r="H16" s="12">
        <f>G16-E16</f>
      </c>
    </row>
    <row r="17" ht="20" customHeight="1" spans="1:8" x14ac:dyDescent="0.25">
      <c r="A17" s="13" t="s">
        <v>32</v>
      </c>
      <c r="B17" s="14" t="s">
        <v>33</v>
      </c>
      <c r="C17" s="15">
        <v>1400</v>
      </c>
      <c r="D17" s="16">
        <v>3.2</v>
      </c>
      <c r="E17" s="16">
        <f>C17*D17</f>
      </c>
      <c r="F17" s="16">
        <v>6.8</v>
      </c>
      <c r="G17" s="16">
        <f>C17*F17</f>
      </c>
      <c r="H17" s="16">
        <f>G17-E17</f>
      </c>
    </row>
    <row r="18" ht="20" customHeight="1" spans="1:8" x14ac:dyDescent="0.25">
      <c r="A18" s="9" t="s">
        <v>34</v>
      </c>
      <c r="B18" s="10" t="s">
        <v>35</v>
      </c>
      <c r="C18" s="11">
        <v>800</v>
      </c>
      <c r="D18" s="12">
        <v>7.5</v>
      </c>
      <c r="E18" s="12">
        <f>C18*D18</f>
      </c>
      <c r="F18" s="12">
        <v>11.2</v>
      </c>
      <c r="G18" s="12">
        <f>C18*F18</f>
      </c>
      <c r="H18" s="12">
        <f>G18-E18</f>
      </c>
    </row>
    <row r="19" ht="20" customHeight="1" spans="1:8" x14ac:dyDescent="0.25">
      <c r="A19" s="13" t="s">
        <v>36</v>
      </c>
      <c r="B19" s="14" t="s">
        <v>37</v>
      </c>
      <c r="C19" s="15">
        <v>25</v>
      </c>
      <c r="D19" s="16">
        <v>280</v>
      </c>
      <c r="E19" s="16">
        <f>C19*D19</f>
      </c>
      <c r="F19" s="16">
        <v>540</v>
      </c>
      <c r="G19" s="16">
        <f>C19*F19</f>
      </c>
      <c r="H19" s="16">
        <f>G19-E19</f>
      </c>
    </row>
    <row r="20" ht="20" customHeight="1" spans="1:8" x14ac:dyDescent="0.25">
      <c r="A20" s="9" t="s">
        <v>38</v>
      </c>
      <c r="B20" s="10" t="s">
        <v>39</v>
      </c>
      <c r="C20" s="11">
        <v>3500</v>
      </c>
      <c r="D20" s="12">
        <v>0.85</v>
      </c>
      <c r="E20" s="12">
        <f>C20*D20</f>
      </c>
      <c r="F20" s="12">
        <v>2.15</v>
      </c>
      <c r="G20" s="12">
        <f>C20*F20</f>
      </c>
      <c r="H20" s="12">
        <f>G20-E20</f>
      </c>
    </row>
    <row r="21" ht="20" customHeight="1" spans="1:8" x14ac:dyDescent="0.25">
      <c r="A21" s="13" t="s">
        <v>40</v>
      </c>
      <c r="B21" s="14" t="s">
        <v>41</v>
      </c>
      <c r="C21" s="15">
        <v>4500</v>
      </c>
      <c r="D21" s="16">
        <v>1.15</v>
      </c>
      <c r="E21" s="16">
        <f>C21*D21</f>
      </c>
      <c r="F21" s="16">
        <v>2.05</v>
      </c>
      <c r="G21" s="16">
        <f>C21*F21</f>
      </c>
      <c r="H21" s="16">
        <f>G21-E21</f>
      </c>
    </row>
    <row r="22" ht="24" customHeight="1" spans="1:8" x14ac:dyDescent="0.25">
      <c r="A22" s="17" t="s">
        <v>42</v>
      </c>
      <c r="B22" s="18" t="s">
        <v>43</v>
      </c>
      <c r="C22" s="19" t="s">
        <v>43</v>
      </c>
      <c r="D22" s="20" t="s">
        <v>43</v>
      </c>
      <c r="E22" s="20">
        <f>SUM(E8:E21)</f>
      </c>
      <c r="F22" s="20" t="s">
        <v>43</v>
      </c>
      <c r="G22" s="20">
        <f>SUM(G8:G21)</f>
      </c>
      <c r="H22" s="20">
        <f>SUM(H8:H21)</f>
      </c>
    </row>
  </sheetData>
  <mergeCells count="10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 &amp; Model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SmartCents &amp; BizTools Executive Suite</dc:creator>
  <dc:title/>
  <dc:subject/>
  <dc:description/>
  <cp:keywords/>
  <cp:category/>
  <cp:lastModifiedBy>Unknown</cp:lastModifiedBy>
  <dcterms:created xsi:type="dcterms:W3CDTF">2026-10-16T14:50:26Z</dcterms:created>
  <dcterms:modified xsi:type="dcterms:W3CDTF">2026-10-16T14:50:26Z</dcterms:modified>
</cp:coreProperties>
</file>
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ovation Budget &amp; Variance" state="visible" r:id="rId4"/>
  </sheets>
  <calcPr calcId="171027"/>
</workbook>
</file>

<file path=xl/sharedStrings.xml><?xml version="1.0" encoding="utf-8"?>
<sst xmlns="http://schemas.openxmlformats.org/spreadsheetml/2006/main" count="92" uniqueCount="79">
  <si>
    <t>HOME REMODEL &amp; CONSTRUCTION ROOM-BY-ROOM LABOR, MATERIALS &amp; VARIANCE TRACKER</t>
  </si>
  <si>
    <t>Contractor Trade Estimates, 10% Contingency Reserve, Actual Spend &amp; Budget Variance Control</t>
  </si>
  <si>
    <t>TOTAL APPROVED BUDGET</t>
  </si>
  <si>
    <t>TOTAL ACTUAL SPEND TO DATE</t>
  </si>
  <si>
    <t>TOTAL CONTINGENCY RESERVE</t>
  </si>
  <si>
    <t>NET BUDGET VARIANCE ($)</t>
  </si>
  <si>
    <t>SCOPES UNDER/ON BUDGET</t>
  </si>
  <si>
    <t>Scope ID</t>
  </si>
  <si>
    <t>Room / Zone</t>
  </si>
  <si>
    <t>Trade &amp; Work Package</t>
  </si>
  <si>
    <t>Contractor / Vendor</t>
  </si>
  <si>
    <t>Materials Est ($)</t>
  </si>
  <si>
    <t>Labor Est ($)</t>
  </si>
  <si>
    <t>Contingency (10%)</t>
  </si>
  <si>
    <t>Total Approved Budget ($)</t>
  </si>
  <si>
    <t>Actual Spend ($)</t>
  </si>
  <si>
    <t>Variance ($ Saved/Over)</t>
  </si>
  <si>
    <t>Variance %</t>
  </si>
  <si>
    <t>Completion Stage</t>
  </si>
  <si>
    <t>Budget Status</t>
  </si>
  <si>
    <t>RNV-01</t>
  </si>
  <si>
    <t>Site &amp; Demo</t>
  </si>
  <si>
    <t>Architectural Plans, Permits &amp; Interior Demo</t>
  </si>
  <si>
    <t>Apex Structural</t>
  </si>
  <si>
    <t>100% Complete</t>
  </si>
  <si>
    <t>RNV-02</t>
  </si>
  <si>
    <t>Chef Kitchen</t>
  </si>
  <si>
    <t>Custom White Oak Cabinetry &amp; Soft-Close Millwork</t>
  </si>
  <si>
    <t>Nordic Millworks</t>
  </si>
  <si>
    <t>RNV-03</t>
  </si>
  <si>
    <t>Calacatta Quartz Countertops &amp; Waterfall Island</t>
  </si>
  <si>
    <t>StoneCraft Lab</t>
  </si>
  <si>
    <t>RNV-04</t>
  </si>
  <si>
    <t>Pro-Grade Induction Range, Hood &amp; Panel Fridge</t>
  </si>
  <si>
    <t>Luxe Appliances</t>
  </si>
  <si>
    <t>RNV-05</t>
  </si>
  <si>
    <t>Primary Suite Bath</t>
  </si>
  <si>
    <t>Frameless Glass Wet-Room, Freestanding Tub &amp; Tile</t>
  </si>
  <si>
    <t>Oasis Bath Co.</t>
  </si>
  <si>
    <t>90% In Progress</t>
  </si>
  <si>
    <t>RNV-06</t>
  </si>
  <si>
    <t>Floating Double Vanity, Brushed Brass Fixtures</t>
  </si>
  <si>
    <t>RNV-07</t>
  </si>
  <si>
    <t>Whole House Flooring</t>
  </si>
  <si>
    <t>Wide-Plank European White Oak Hardwood &amp; Leveling</t>
  </si>
  <si>
    <t>Timberline Floors</t>
  </si>
  <si>
    <t>RNV-08</t>
  </si>
  <si>
    <t>Electrical &amp; Lighting</t>
  </si>
  <si>
    <t>200A Panel Upgrade, Recessed LEDs &amp; Smart Dimmers</t>
  </si>
  <si>
    <t>VoltMaster Electric</t>
  </si>
  <si>
    <t>RNV-09</t>
  </si>
  <si>
    <t>Plumbing &amp; MEP</t>
  </si>
  <si>
    <t>PEX Repipe, Tankless Water Heater &amp; Rough-Ins</t>
  </si>
  <si>
    <t>ClearFlow Plumbing</t>
  </si>
  <si>
    <t>RNV-10</t>
  </si>
  <si>
    <t>HVAC &amp; Climate</t>
  </si>
  <si>
    <t>High-Efficiency Heat Pump &amp; Smart Zoning Ductwork</t>
  </si>
  <si>
    <t>AeroClimate Systems</t>
  </si>
  <si>
    <t>80% In Progress</t>
  </si>
  <si>
    <t>RNV-11</t>
  </si>
  <si>
    <t>Living &amp; Dining</t>
  </si>
  <si>
    <t>Drywall Skim Coat, Acoustic Insulation &amp; Paint</t>
  </si>
  <si>
    <t>Precision Finishes</t>
  </si>
  <si>
    <t>75% In Progress</t>
  </si>
  <si>
    <t>RNV-12</t>
  </si>
  <si>
    <t>Windows &amp; Doors</t>
  </si>
  <si>
    <t>Low-E Black Aluminum Casement Windows &amp; Bi-Fold</t>
  </si>
  <si>
    <t>Vista Glazing</t>
  </si>
  <si>
    <t>RNV-13</t>
  </si>
  <si>
    <t>Guest Powder Room</t>
  </si>
  <si>
    <t>Herringbone Mosaic Wall, Pedestal Sink &amp; Sconces</t>
  </si>
  <si>
    <t>60% In Progress</t>
  </si>
  <si>
    <t>RNV-14</t>
  </si>
  <si>
    <t>Exterior &amp; Deck</t>
  </si>
  <si>
    <t>Composite Cedar Decking, Pergola &amp; Landscape LED</t>
  </si>
  <si>
    <t>Evergreen Outdoor</t>
  </si>
  <si>
    <t>40% In Progress</t>
  </si>
  <si>
    <t>PROJECT TOTALS</t>
  </si>
  <si>
    <t>ACTIVE REMODEL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</si>
</sst>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+0.0%;-0.0%;0.0%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475569"/>
      <sz val="8"/>
      <name val="Segoe UI"/>
    </font>
    <font>
      <b/>
      <color rgb="FF0F172A"/>
      <sz val="13"/>
      <name val="Segoe UI"/>
    </font>
    <font>
      <b/>
      <color rgb="FF2563EB"/>
      <sz val="13"/>
      <name val="Segoe UI"/>
    </font>
    <font>
      <b/>
      <color rgb="FFD97706"/>
      <sz val="13"/>
      <name val="Segoe UI"/>
    </font>
    <font>
      <b/>
      <color rgb="FF059669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E11D48"/>
      <sz val="9"/>
      <name val="Segoe UI"/>
    </font>
    <font>
      <b/>
      <color rgb="FF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164" fontId="9" fillId="5" borderId="3" xfId="0" applyNumberFormat="1" applyFont="1" applyFill="1" applyBorder="1" applyAlignment="1">
      <alignment horizontal="right" vertical="center"/>
    </xf>
    <xf numFmtId="165" fontId="9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164" fontId="9" fillId="6" borderId="3" xfId="0" applyNumberFormat="1" applyFont="1" applyFill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4" xfId="0" applyFont="1" applyFill="1" applyBorder="1"/>
    <xf numFmtId="164" fontId="11" fillId="4" borderId="4" xfId="0" applyNumberFormat="1" applyFont="1" applyFill="1" applyBorder="1"/>
    <xf numFmtId="165" fontId="1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4" customWidth="1"/>
    <col min="4" max="4" width="23" customWidth="1"/>
    <col min="5" max="5" width="21" customWidth="1"/>
    <col min="6" max="6" width="17" customWidth="1"/>
    <col min="7" max="7" width="21" customWidth="1"/>
    <col min="8" max="8" width="29" customWidth="1"/>
    <col min="9" max="9" width="20" customWidth="1"/>
    <col min="10" max="10" width="27" customWidth="1"/>
    <col min="11" max="11" width="14" customWidth="1"/>
    <col min="12" max="12" width="20" customWidth="1"/>
    <col min="13" max="13" width="17" customWidth="1"/>
  </cols>
  <sheetData>
    <row r="1" ht="3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0" customHeight="1" x14ac:dyDescent="0.25"/>
    <row r="4" ht="18" customHeight="1" spans="1:13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 t="s">
        <v>6</v>
      </c>
      <c r="M4" s="3"/>
    </row>
    <row r="5" ht="28" customHeight="1" spans="1:13" x14ac:dyDescent="0.25">
      <c r="A5" s="4">
        <f>SUM(H8:H21)</f>
      </c>
      <c r="B5" s="4"/>
      <c r="C5" s="4"/>
      <c r="D5" s="5">
        <f>SUM(I8:I21)</f>
      </c>
      <c r="E5" s="5"/>
      <c r="F5" s="5"/>
      <c r="G5" s="6">
        <f>SUM(G8:G21)</f>
      </c>
      <c r="H5" s="6"/>
      <c r="I5" s="6"/>
      <c r="J5" s="7">
        <f>SUM(J8:J21)</f>
      </c>
      <c r="K5" s="7"/>
      <c r="L5" s="8">
        <f>COUNTIF(M8:M21,"UNDER / ON BUDGET")</f>
      </c>
      <c r="M5" s="8"/>
    </row>
    <row r="6" ht="10" customHeight="1" x14ac:dyDescent="0.25"/>
    <row r="7" ht="26" customHeight="1" spans="1:13" x14ac:dyDescent="0.25">
      <c r="A7" s="9" t="s">
        <v>7</v>
      </c>
      <c r="B7" s="9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</row>
    <row r="8" ht="20" customHeight="1" spans="1:13" x14ac:dyDescent="0.25">
      <c r="A8" s="11" t="s">
        <v>20</v>
      </c>
      <c r="B8" s="12" t="s">
        <v>21</v>
      </c>
      <c r="C8" s="12" t="s">
        <v>22</v>
      </c>
      <c r="D8" s="12" t="s">
        <v>23</v>
      </c>
      <c r="E8" s="13">
        <v>3200</v>
      </c>
      <c r="F8" s="13">
        <v>6800</v>
      </c>
      <c r="G8" s="13">
        <f>ROUND((E8+F8)*0.10, 0)</f>
      </c>
      <c r="H8" s="13">
        <f>SUM(E8:G8)</f>
      </c>
      <c r="I8" s="13">
        <v>10400</v>
      </c>
      <c r="J8" s="13">
        <f>H8-I8</f>
      </c>
      <c r="K8" s="14">
        <f>IF(H8&gt;0, J8/H8, 0)</f>
      </c>
      <c r="L8" s="11" t="s">
        <v>24</v>
      </c>
      <c r="M8" s="15">
        <f>IF(J8&gt;=0,"UNDER / ON BUDGET","OVER BUDGET")</f>
      </c>
    </row>
    <row r="9" ht="20" customHeight="1" spans="1:13" x14ac:dyDescent="0.25">
      <c r="A9" s="16" t="s">
        <v>25</v>
      </c>
      <c r="B9" s="17" t="s">
        <v>26</v>
      </c>
      <c r="C9" s="17" t="s">
        <v>27</v>
      </c>
      <c r="D9" s="17" t="s">
        <v>28</v>
      </c>
      <c r="E9" s="18">
        <v>16500</v>
      </c>
      <c r="F9" s="18">
        <v>7200</v>
      </c>
      <c r="G9" s="18">
        <f>ROUND((E9+F9)*0.10, 0)</f>
      </c>
      <c r="H9" s="18">
        <f>SUM(E9:G9)</f>
      </c>
      <c r="I9" s="18">
        <v>25400</v>
      </c>
      <c r="J9" s="18">
        <f>H9-I9</f>
      </c>
      <c r="K9" s="19">
        <f>IF(H9&gt;0, J9/H9, 0)</f>
      </c>
      <c r="L9" s="16" t="s">
        <v>24</v>
      </c>
      <c r="M9" s="20">
        <f>IF(J9&gt;=0,"UNDER / ON BUDGET","OVER BUDGET")</f>
      </c>
    </row>
    <row r="10" ht="20" customHeight="1" spans="1:13" x14ac:dyDescent="0.25">
      <c r="A10" s="11" t="s">
        <v>29</v>
      </c>
      <c r="B10" s="12" t="s">
        <v>26</v>
      </c>
      <c r="C10" s="12" t="s">
        <v>30</v>
      </c>
      <c r="D10" s="12" t="s">
        <v>31</v>
      </c>
      <c r="E10" s="13">
        <v>7800</v>
      </c>
      <c r="F10" s="13">
        <v>3400</v>
      </c>
      <c r="G10" s="13">
        <f>ROUND((E10+F10)*0.10, 0)</f>
      </c>
      <c r="H10" s="13">
        <f>SUM(E10:G10)</f>
      </c>
      <c r="I10" s="13">
        <v>11900</v>
      </c>
      <c r="J10" s="13">
        <f>H10-I10</f>
      </c>
      <c r="K10" s="14">
        <f>IF(H10&gt;0, J10/H10, 0)</f>
      </c>
      <c r="L10" s="11" t="s">
        <v>24</v>
      </c>
      <c r="M10" s="15">
        <f>IF(J10&gt;=0,"UNDER / ON BUDGET","OVER BUDGET")</f>
      </c>
    </row>
    <row r="11" ht="20" customHeight="1" spans="1:13" x14ac:dyDescent="0.25">
      <c r="A11" s="16" t="s">
        <v>32</v>
      </c>
      <c r="B11" s="17" t="s">
        <v>26</v>
      </c>
      <c r="C11" s="17" t="s">
        <v>33</v>
      </c>
      <c r="D11" s="17" t="s">
        <v>34</v>
      </c>
      <c r="E11" s="18">
        <v>12400</v>
      </c>
      <c r="F11" s="18">
        <v>1800</v>
      </c>
      <c r="G11" s="18">
        <f>ROUND((E11+F11)*0.10, 0)</f>
      </c>
      <c r="H11" s="18">
        <f>SUM(E11:G11)</f>
      </c>
      <c r="I11" s="18">
        <v>14800</v>
      </c>
      <c r="J11" s="18">
        <f>H11-I11</f>
      </c>
      <c r="K11" s="19">
        <f>IF(H11&gt;0, J11/H11, 0)</f>
      </c>
      <c r="L11" s="16" t="s">
        <v>24</v>
      </c>
      <c r="M11" s="20">
        <f>IF(J11&gt;=0,"UNDER / ON BUDGET","OVER BUDGET")</f>
      </c>
    </row>
    <row r="12" ht="20" customHeight="1" spans="1:13" x14ac:dyDescent="0.25">
      <c r="A12" s="11" t="s">
        <v>35</v>
      </c>
      <c r="B12" s="12" t="s">
        <v>36</v>
      </c>
      <c r="C12" s="12" t="s">
        <v>37</v>
      </c>
      <c r="D12" s="12" t="s">
        <v>38</v>
      </c>
      <c r="E12" s="13">
        <v>8900</v>
      </c>
      <c r="F12" s="13">
        <v>9400</v>
      </c>
      <c r="G12" s="13">
        <f>ROUND((E12+F12)*0.10, 0)</f>
      </c>
      <c r="H12" s="13">
        <f>SUM(E12:G12)</f>
      </c>
      <c r="I12" s="13">
        <v>19600</v>
      </c>
      <c r="J12" s="13">
        <f>H12-I12</f>
      </c>
      <c r="K12" s="14">
        <f>IF(H12&gt;0, J12/H12, 0)</f>
      </c>
      <c r="L12" s="11" t="s">
        <v>39</v>
      </c>
      <c r="M12" s="15">
        <f>IF(J12&gt;=0,"UNDER / ON BUDGET","OVER BUDGET")</f>
      </c>
    </row>
    <row r="13" ht="20" customHeight="1" spans="1:13" x14ac:dyDescent="0.25">
      <c r="A13" s="16" t="s">
        <v>40</v>
      </c>
      <c r="B13" s="17" t="s">
        <v>36</v>
      </c>
      <c r="C13" s="17" t="s">
        <v>41</v>
      </c>
      <c r="D13" s="17" t="s">
        <v>38</v>
      </c>
      <c r="E13" s="18">
        <v>4600</v>
      </c>
      <c r="F13" s="18">
        <v>2900</v>
      </c>
      <c r="G13" s="18">
        <f>ROUND((E13+F13)*0.10, 0)</f>
      </c>
      <c r="H13" s="18">
        <f>SUM(E13:G13)</f>
      </c>
      <c r="I13" s="18">
        <v>8100</v>
      </c>
      <c r="J13" s="18">
        <f>H13-I13</f>
      </c>
      <c r="K13" s="19">
        <f>IF(H13&gt;0, J13/H13, 0)</f>
      </c>
      <c r="L13" s="16" t="s">
        <v>24</v>
      </c>
      <c r="M13" s="20">
        <f>IF(J13&gt;=0,"UNDER / ON BUDGET","OVER BUDGET")</f>
      </c>
    </row>
    <row r="14" ht="20" customHeight="1" spans="1:13" x14ac:dyDescent="0.25">
      <c r="A14" s="11" t="s">
        <v>42</v>
      </c>
      <c r="B14" s="12" t="s">
        <v>43</v>
      </c>
      <c r="C14" s="12" t="s">
        <v>44</v>
      </c>
      <c r="D14" s="12" t="s">
        <v>45</v>
      </c>
      <c r="E14" s="13">
        <v>11200</v>
      </c>
      <c r="F14" s="13">
        <v>6800</v>
      </c>
      <c r="G14" s="13">
        <f>ROUND((E14+F14)*0.10, 0)</f>
      </c>
      <c r="H14" s="13">
        <f>SUM(E14:G14)</f>
      </c>
      <c r="I14" s="13">
        <v>19200</v>
      </c>
      <c r="J14" s="13">
        <f>H14-I14</f>
      </c>
      <c r="K14" s="14">
        <f>IF(H14&gt;0, J14/H14, 0)</f>
      </c>
      <c r="L14" s="11" t="s">
        <v>24</v>
      </c>
      <c r="M14" s="15">
        <f>IF(J14&gt;=0,"UNDER / ON BUDGET","OVER BUDGET")</f>
      </c>
    </row>
    <row r="15" ht="20" customHeight="1" spans="1:13" x14ac:dyDescent="0.25">
      <c r="A15" s="16" t="s">
        <v>46</v>
      </c>
      <c r="B15" s="17" t="s">
        <v>47</v>
      </c>
      <c r="C15" s="17" t="s">
        <v>48</v>
      </c>
      <c r="D15" s="17" t="s">
        <v>49</v>
      </c>
      <c r="E15" s="18">
        <v>4800</v>
      </c>
      <c r="F15" s="18">
        <v>7500</v>
      </c>
      <c r="G15" s="18">
        <f>ROUND((E15+F15)*0.10, 0)</f>
      </c>
      <c r="H15" s="18">
        <f>SUM(E15:G15)</f>
      </c>
      <c r="I15" s="18">
        <v>13400</v>
      </c>
      <c r="J15" s="18">
        <f>H15-I15</f>
      </c>
      <c r="K15" s="19">
        <f>IF(H15&gt;0, J15/H15, 0)</f>
      </c>
      <c r="L15" s="16" t="s">
        <v>24</v>
      </c>
      <c r="M15" s="20">
        <f>IF(J15&gt;=0,"UNDER / ON BUDGET","OVER BUDGET")</f>
      </c>
    </row>
    <row r="16" ht="20" customHeight="1" spans="1:13" x14ac:dyDescent="0.25">
      <c r="A16" s="11" t="s">
        <v>50</v>
      </c>
      <c r="B16" s="12" t="s">
        <v>51</v>
      </c>
      <c r="C16" s="12" t="s">
        <v>52</v>
      </c>
      <c r="D16" s="12" t="s">
        <v>53</v>
      </c>
      <c r="E16" s="13">
        <v>4200</v>
      </c>
      <c r="F16" s="13">
        <v>6400</v>
      </c>
      <c r="G16" s="13">
        <f>ROUND((E16+F16)*0.10, 0)</f>
      </c>
      <c r="H16" s="13">
        <f>SUM(E16:G16)</f>
      </c>
      <c r="I16" s="13">
        <v>11800</v>
      </c>
      <c r="J16" s="13">
        <f>H16-I16</f>
      </c>
      <c r="K16" s="14">
        <f>IF(H16&gt;0, J16/H16, 0)</f>
      </c>
      <c r="L16" s="11" t="s">
        <v>24</v>
      </c>
      <c r="M16" s="15">
        <f>IF(J16&gt;=0,"UNDER / ON BUDGET","OVER BUDGET")</f>
      </c>
    </row>
    <row r="17" ht="20" customHeight="1" spans="1:13" x14ac:dyDescent="0.25">
      <c r="A17" s="16" t="s">
        <v>54</v>
      </c>
      <c r="B17" s="17" t="s">
        <v>55</v>
      </c>
      <c r="C17" s="17" t="s">
        <v>56</v>
      </c>
      <c r="D17" s="17" t="s">
        <v>57</v>
      </c>
      <c r="E17" s="18">
        <v>7900</v>
      </c>
      <c r="F17" s="18">
        <v>5600</v>
      </c>
      <c r="G17" s="18">
        <f>ROUND((E17+F17)*0.10, 0)</f>
      </c>
      <c r="H17" s="18">
        <f>SUM(E17:G17)</f>
      </c>
      <c r="I17" s="18">
        <v>14500</v>
      </c>
      <c r="J17" s="18">
        <f>H17-I17</f>
      </c>
      <c r="K17" s="19">
        <f>IF(H17&gt;0, J17/H17, 0)</f>
      </c>
      <c r="L17" s="16" t="s">
        <v>58</v>
      </c>
      <c r="M17" s="20">
        <f>IF(J17&gt;=0,"UNDER / ON BUDGET","OVER BUDGET")</f>
      </c>
    </row>
    <row r="18" ht="20" customHeight="1" spans="1:13" x14ac:dyDescent="0.25">
      <c r="A18" s="11" t="s">
        <v>59</v>
      </c>
      <c r="B18" s="12" t="s">
        <v>60</v>
      </c>
      <c r="C18" s="12" t="s">
        <v>61</v>
      </c>
      <c r="D18" s="12" t="s">
        <v>62</v>
      </c>
      <c r="E18" s="13">
        <v>2900</v>
      </c>
      <c r="F18" s="13">
        <v>6200</v>
      </c>
      <c r="G18" s="13">
        <f>ROUND((E18+F18)*0.10, 0)</f>
      </c>
      <c r="H18" s="13">
        <f>SUM(E18:G18)</f>
      </c>
      <c r="I18" s="13">
        <v>9600</v>
      </c>
      <c r="J18" s="13">
        <f>H18-I18</f>
      </c>
      <c r="K18" s="14">
        <f>IF(H18&gt;0, J18/H18, 0)</f>
      </c>
      <c r="L18" s="11" t="s">
        <v>63</v>
      </c>
      <c r="M18" s="15">
        <f>IF(J18&gt;=0,"UNDER / ON BUDGET","OVER BUDGET")</f>
      </c>
    </row>
    <row r="19" ht="20" customHeight="1" spans="1:13" x14ac:dyDescent="0.25">
      <c r="A19" s="16" t="s">
        <v>64</v>
      </c>
      <c r="B19" s="17" t="s">
        <v>65</v>
      </c>
      <c r="C19" s="17" t="s">
        <v>66</v>
      </c>
      <c r="D19" s="17" t="s">
        <v>67</v>
      </c>
      <c r="E19" s="18">
        <v>13500</v>
      </c>
      <c r="F19" s="18">
        <v>5200</v>
      </c>
      <c r="G19" s="18">
        <f>ROUND((E19+F19)*0.10, 0)</f>
      </c>
      <c r="H19" s="18">
        <f>SUM(E19:G19)</f>
      </c>
      <c r="I19" s="18">
        <v>20100</v>
      </c>
      <c r="J19" s="18">
        <f>H19-I19</f>
      </c>
      <c r="K19" s="19">
        <f>IF(H19&gt;0, J19/H19, 0)</f>
      </c>
      <c r="L19" s="16" t="s">
        <v>24</v>
      </c>
      <c r="M19" s="20">
        <f>IF(J19&gt;=0,"UNDER / ON BUDGET","OVER BUDGET")</f>
      </c>
    </row>
    <row r="20" ht="20" customHeight="1" spans="1:13" x14ac:dyDescent="0.25">
      <c r="A20" s="11" t="s">
        <v>68</v>
      </c>
      <c r="B20" s="12" t="s">
        <v>69</v>
      </c>
      <c r="C20" s="12" t="s">
        <v>70</v>
      </c>
      <c r="D20" s="12" t="s">
        <v>38</v>
      </c>
      <c r="E20" s="13">
        <v>2600</v>
      </c>
      <c r="F20" s="13">
        <v>2800</v>
      </c>
      <c r="G20" s="13">
        <f>ROUND((E20+F20)*0.10, 0)</f>
      </c>
      <c r="H20" s="13">
        <f>SUM(E20:G20)</f>
      </c>
      <c r="I20" s="13">
        <v>5800</v>
      </c>
      <c r="J20" s="13">
        <f>H20-I20</f>
      </c>
      <c r="K20" s="14">
        <f>IF(H20&gt;0, J20/H20, 0)</f>
      </c>
      <c r="L20" s="11" t="s">
        <v>71</v>
      </c>
      <c r="M20" s="15">
        <f>IF(J20&gt;=0,"UNDER / ON BUDGET","OVER BUDGET")</f>
      </c>
    </row>
    <row r="21" ht="20" customHeight="1" spans="1:13" x14ac:dyDescent="0.25">
      <c r="A21" s="16" t="s">
        <v>72</v>
      </c>
      <c r="B21" s="17" t="s">
        <v>73</v>
      </c>
      <c r="C21" s="17" t="s">
        <v>74</v>
      </c>
      <c r="D21" s="17" t="s">
        <v>75</v>
      </c>
      <c r="E21" s="18">
        <v>8400</v>
      </c>
      <c r="F21" s="18">
        <v>6100</v>
      </c>
      <c r="G21" s="18">
        <f>ROUND((E21+F21)*0.10, 0)</f>
      </c>
      <c r="H21" s="18">
        <f>SUM(E21:G21)</f>
      </c>
      <c r="I21" s="18">
        <v>15200</v>
      </c>
      <c r="J21" s="18">
        <f>H21-I21</f>
      </c>
      <c r="K21" s="19">
        <f>IF(H21&gt;0, J21/H21, 0)</f>
      </c>
      <c r="L21" s="16" t="s">
        <v>76</v>
      </c>
      <c r="M21" s="20">
        <f>IF(J21&gt;=0,"UNDER / ON BUDGET","OVER BUDGET")</f>
      </c>
    </row>
    <row r="22" ht="24" customHeight="1" spans="1:13" x14ac:dyDescent="0.25">
      <c r="A22" s="21" t="s">
        <v>77</v>
      </c>
      <c r="B22" s="21"/>
      <c r="C22" s="21"/>
      <c r="D22" s="21"/>
      <c r="E22" s="22">
        <f>SUM(E8:E21)</f>
      </c>
      <c r="F22" s="22">
        <f>SUM(F8:F21)</f>
      </c>
      <c r="G22" s="22">
        <f>SUM(G8:G21)</f>
      </c>
      <c r="H22" s="22">
        <f>SUM(H8:H21)</f>
      </c>
      <c r="I22" s="22">
        <f>SUM(I8:I21)</f>
      </c>
      <c r="J22" s="22">
        <f>SUM(J8:J21)</f>
      </c>
      <c r="K22" s="23">
        <f>IF(H22&gt;0, J22/H22, 0)</f>
      </c>
      <c r="L22" s="21" t="s">
        <v>78</v>
      </c>
      <c r="M22" s="21">
        <f>IF(J22&gt;=0,"WITHIN CONTINGENCY","OVERRUN ALERT")</f>
      </c>
    </row>
  </sheetData>
  <mergeCells count="12">
    <mergeCell ref="A1:M1"/>
    <mergeCell ref="A2:M2"/>
    <mergeCell ref="A4:C4"/>
    <mergeCell ref="D4:F4"/>
    <mergeCell ref="G4:I4"/>
    <mergeCell ref="J4:K4"/>
    <mergeCell ref="L4:M4"/>
    <mergeCell ref="A5:C5"/>
    <mergeCell ref="D5:F5"/>
    <mergeCell ref="G5:I5"/>
    <mergeCell ref="J5:K5"/>
    <mergeCell ref="L5:M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Renovation Budget &amp;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2026-10-16T12:24:49Z</dcterms:created>
  <dcterms:modified xsi:type="dcterms:W3CDTF">2026-10-16T12:24:49Z</dcterms:modified>
</cp:coreProperties>
</file>
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Model" state="visible" r:id="rId4"/>
  </sheets>
  <calcPr calcId="171027"/>
</workbook>
</file>

<file path=xl/sharedStrings.xml><?xml version="1.0" encoding="utf-8"?>
<sst xmlns="http://schemas.openxmlformats.org/spreadsheetml/2006/main" count="45" uniqueCount="44">
  <si>
    <t>AMAZON FBA PRODUCT PROFIT, REFERRAL &amp; STORAGE FEE CALCULATOR</t>
  </si>
  <si>
    <t>BizTools Executive Financial &amp; Operations Engine • Automated Dynamic Formulas</t>
  </si>
  <si>
    <t>Total Revenue Forecast</t>
  </si>
  <si>
    <t>Total Amazon Fees</t>
  </si>
  <si>
    <t>Net Profit Realized</t>
  </si>
  <si>
    <t>Average Net Margin</t>
  </si>
  <si>
    <t>Product SKU</t>
  </si>
  <si>
    <t>Product Title</t>
  </si>
  <si>
    <t>Units/Mo</t>
  </si>
  <si>
    <t>Retail Price</t>
  </si>
  <si>
    <t>Unit COGS</t>
  </si>
  <si>
    <t>Gross Revenue</t>
  </si>
  <si>
    <t>FBA Pick &amp; Pack</t>
  </si>
  <si>
    <t>15% Amazon Referral</t>
  </si>
  <si>
    <t>FBA-SKU-01</t>
  </si>
  <si>
    <t>Ergonomic Desk Mat XL</t>
  </si>
  <si>
    <t>FBA-SKU-02</t>
  </si>
  <si>
    <t>Magnetic Charging Stand</t>
  </si>
  <si>
    <t>FBA-SKU-03</t>
  </si>
  <si>
    <t>Stainless Coffee Tumbler</t>
  </si>
  <si>
    <t>FBA-SKU-04</t>
  </si>
  <si>
    <t>Resistance Bands 5-Set</t>
  </si>
  <si>
    <t>FBA-SKU-05</t>
  </si>
  <si>
    <t>Blue Light Glasses 2-Pk</t>
  </si>
  <si>
    <t>FBA-SKU-06</t>
  </si>
  <si>
    <t>Orthopedic Lumbar Pillow</t>
  </si>
  <si>
    <t>FBA-SKU-07</t>
  </si>
  <si>
    <t>Wireless Mic for Phone</t>
  </si>
  <si>
    <t>FBA-SKU-08</t>
  </si>
  <si>
    <t>Silicone Kitchen Utensils</t>
  </si>
  <si>
    <t>FBA-SKU-09</t>
  </si>
  <si>
    <t>Leather Passport Wallet</t>
  </si>
  <si>
    <t>FBA-SKU-10</t>
  </si>
  <si>
    <t>Aroma Essential Diffuser</t>
  </si>
  <si>
    <t>FBA-SKU-11</t>
  </si>
  <si>
    <t>Travel Packing Cubes 6pc</t>
  </si>
  <si>
    <t>FBA-SKU-12</t>
  </si>
  <si>
    <t>Sunrise Alarm Clock Light</t>
  </si>
  <si>
    <t>FBA-SKU-13</t>
  </si>
  <si>
    <t>Under-Desk Footrest Foam</t>
  </si>
  <si>
    <t>FBA-SKU-14</t>
  </si>
  <si>
    <t>Adjustable Laptop Stand</t>
  </si>
  <si>
    <t>FBA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</si>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</sst>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94A3B8"/>
      <sz val="9"/>
    </font>
    <font>
      <b/>
      <color rgb="FF64748B"/>
      <sz val="9"/>
    </font>
    <font>
      <b/>
      <color rgb="FF0F172A"/>
      <sz val="12"/>
    </font>
    <font>
      <b/>
      <color rgb="FFFFFFFF"/>
      <sz val="10"/>
    </font>
    <font>
      <color rgb="FF334155"/>
      <sz val="9.5"/>
    </font>
    <font>
      <b/>
      <color rgb="FF0F172A"/>
      <sz val="10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medium">
        <color rgb="FF0F172A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left" vertical="center"/>
    </xf>
    <xf numFmtId="3" fontId="6" fillId="7" borderId="2" xfId="0" applyNumberFormat="1" applyFont="1" applyFill="1" applyBorder="1" applyAlignment="1">
      <alignment horizontal="right" vertical="center"/>
    </xf>
    <xf numFmtId="164" fontId="6" fillId="7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3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 vertical="center"/>
    </xf>
    <xf numFmtId="0" fontId="7" fillId="8" borderId="3" xfId="0" applyFont="1" applyFill="1" applyBorder="1" applyAlignment="1">
      <alignment horizontal="left" vertical="center"/>
    </xf>
    <xf numFmtId="3" fontId="7" fillId="8" borderId="3" xfId="0" applyNumberFormat="1" applyFont="1" applyFill="1" applyBorder="1" applyAlignment="1">
      <alignment horizontal="right" vertical="center"/>
    </xf>
    <xf numFmtId="164" fontId="7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4" customWidth="1"/>
    <col min="2" max="2" width="22" customWidth="1"/>
    <col min="3" max="3" width="12" customWidth="1"/>
    <col min="4" max="4" width="14" customWidth="1"/>
    <col min="5" max="5" width="13" customWidth="1"/>
    <col min="6" max="7" width="16" customWidth="1"/>
    <col min="8" max="8" width="18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8" customHeight="1" spans="1:8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ht="24" customHeight="1" spans="1:8" x14ac:dyDescent="0.25">
      <c r="A5" s="4">
        <f>SUM(F8:F21)</f>
      </c>
      <c r="B5" s="4"/>
      <c r="C5" s="4">
        <f>SUM(H8:H21)</f>
      </c>
      <c r="D5" s="4"/>
      <c r="E5" s="4">
        <f>F5-H5-SUM(E8:E21)</f>
      </c>
      <c r="F5" s="4"/>
      <c r="G5" s="5">
        <f>H5/F5</f>
      </c>
      <c r="H5" s="5"/>
    </row>
    <row r="7" ht="26" customHeight="1" spans="1:8" x14ac:dyDescent="0.25">
      <c r="A7" s="6" t="s">
        <v>6</v>
      </c>
      <c r="B7" s="6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</row>
    <row r="8" ht="20" customHeight="1" spans="1:8" x14ac:dyDescent="0.25">
      <c r="A8" s="8" t="s">
        <v>14</v>
      </c>
      <c r="B8" s="8" t="s">
        <v>15</v>
      </c>
      <c r="C8" s="9">
        <v>450</v>
      </c>
      <c r="D8" s="10">
        <v>34.99</v>
      </c>
      <c r="E8" s="10">
        <v>8.2</v>
      </c>
      <c r="F8" s="10">
        <f>C8*D8</f>
      </c>
      <c r="G8" s="10">
        <v>5.85</v>
      </c>
      <c r="H8" s="10">
        <f>F8*0.15</f>
      </c>
    </row>
    <row r="9" ht="20" customHeight="1" spans="1:8" x14ac:dyDescent="0.25">
      <c r="A9" s="11" t="s">
        <v>16</v>
      </c>
      <c r="B9" s="11" t="s">
        <v>17</v>
      </c>
      <c r="C9" s="12">
        <v>620</v>
      </c>
      <c r="D9" s="13">
        <v>42.5</v>
      </c>
      <c r="E9" s="13">
        <v>11.4</v>
      </c>
      <c r="F9" s="13">
        <f>C9*D9</f>
      </c>
      <c r="G9" s="13">
        <v>4.95</v>
      </c>
      <c r="H9" s="13">
        <f>F9*0.15</f>
      </c>
    </row>
    <row r="10" ht="20" customHeight="1" spans="1:8" x14ac:dyDescent="0.25">
      <c r="A10" s="8" t="s">
        <v>18</v>
      </c>
      <c r="B10" s="8" t="s">
        <v>19</v>
      </c>
      <c r="C10" s="9">
        <v>850</v>
      </c>
      <c r="D10" s="10">
        <v>26.95</v>
      </c>
      <c r="E10" s="10">
        <v>5.8</v>
      </c>
      <c r="F10" s="10">
        <f>C10*D10</f>
      </c>
      <c r="G10" s="10">
        <v>5.4</v>
      </c>
      <c r="H10" s="10">
        <f>F10*0.15</f>
      </c>
    </row>
    <row r="11" ht="20" customHeight="1" spans="1:8" x14ac:dyDescent="0.25">
      <c r="A11" s="11" t="s">
        <v>20</v>
      </c>
      <c r="B11" s="11" t="s">
        <v>21</v>
      </c>
      <c r="C11" s="12">
        <v>1100</v>
      </c>
      <c r="D11" s="13">
        <v>19.99</v>
      </c>
      <c r="E11" s="13">
        <v>3.4</v>
      </c>
      <c r="F11" s="13">
        <f>C11*D11</f>
      </c>
      <c r="G11" s="13">
        <v>4.25</v>
      </c>
      <c r="H11" s="13">
        <f>F11*0.15</f>
      </c>
    </row>
    <row r="12" ht="20" customHeight="1" spans="1:8" x14ac:dyDescent="0.25">
      <c r="A12" s="8" t="s">
        <v>22</v>
      </c>
      <c r="B12" s="8" t="s">
        <v>23</v>
      </c>
      <c r="C12" s="9">
        <v>780</v>
      </c>
      <c r="D12" s="10">
        <v>24.9</v>
      </c>
      <c r="E12" s="10">
        <v>4.1</v>
      </c>
      <c r="F12" s="10">
        <f>C12*D12</f>
      </c>
      <c r="G12" s="10">
        <v>3.9</v>
      </c>
      <c r="H12" s="10">
        <f>F12*0.15</f>
      </c>
    </row>
    <row r="13" ht="20" customHeight="1" spans="1:8" x14ac:dyDescent="0.25">
      <c r="A13" s="11" t="s">
        <v>24</v>
      </c>
      <c r="B13" s="11" t="s">
        <v>25</v>
      </c>
      <c r="C13" s="12">
        <v>510</v>
      </c>
      <c r="D13" s="13">
        <v>39.99</v>
      </c>
      <c r="E13" s="13">
        <v>9.6</v>
      </c>
      <c r="F13" s="13">
        <f>C13*D13</f>
      </c>
      <c r="G13" s="13">
        <v>6.2</v>
      </c>
      <c r="H13" s="13">
        <f>F13*0.15</f>
      </c>
    </row>
    <row r="14" ht="20" customHeight="1" spans="1:8" x14ac:dyDescent="0.25">
      <c r="A14" s="8" t="s">
        <v>26</v>
      </c>
      <c r="B14" s="8" t="s">
        <v>27</v>
      </c>
      <c r="C14" s="9">
        <v>390</v>
      </c>
      <c r="D14" s="10">
        <v>49.95</v>
      </c>
      <c r="E14" s="10">
        <v>12.8</v>
      </c>
      <c r="F14" s="10">
        <f>C14*D14</f>
      </c>
      <c r="G14" s="10">
        <v>4.5</v>
      </c>
      <c r="H14" s="10">
        <f>F14*0.15</f>
      </c>
    </row>
    <row r="15" ht="20" customHeight="1" spans="1:8" x14ac:dyDescent="0.25">
      <c r="A15" s="11" t="s">
        <v>28</v>
      </c>
      <c r="B15" s="11" t="s">
        <v>29</v>
      </c>
      <c r="C15" s="12">
        <v>670</v>
      </c>
      <c r="D15" s="13">
        <v>29.99</v>
      </c>
      <c r="E15" s="13">
        <v>7.1</v>
      </c>
      <c r="F15" s="13">
        <f>C15*D15</f>
      </c>
      <c r="G15" s="13">
        <v>5.75</v>
      </c>
      <c r="H15" s="13">
        <f>F15*0.15</f>
      </c>
    </row>
    <row r="16" ht="20" customHeight="1" spans="1:8" x14ac:dyDescent="0.25">
      <c r="A16" s="8" t="s">
        <v>30</v>
      </c>
      <c r="B16" s="8" t="s">
        <v>31</v>
      </c>
      <c r="C16" s="9">
        <v>920</v>
      </c>
      <c r="D16" s="10">
        <v>21.5</v>
      </c>
      <c r="E16" s="10">
        <v>4.5</v>
      </c>
      <c r="F16" s="10">
        <f>C16*D16</f>
      </c>
      <c r="G16" s="10">
        <v>3.8</v>
      </c>
      <c r="H16" s="10">
        <f>F16*0.15</f>
      </c>
    </row>
    <row r="17" ht="20" customHeight="1" spans="1:8" x14ac:dyDescent="0.25">
      <c r="A17" s="11" t="s">
        <v>32</v>
      </c>
      <c r="B17" s="11" t="s">
        <v>33</v>
      </c>
      <c r="C17" s="12">
        <v>580</v>
      </c>
      <c r="D17" s="13">
        <v>32</v>
      </c>
      <c r="E17" s="13">
        <v>7.9</v>
      </c>
      <c r="F17" s="13">
        <f>C17*D17</f>
      </c>
      <c r="G17" s="13">
        <v>5.6</v>
      </c>
      <c r="H17" s="13">
        <f>F17*0.15</f>
      </c>
    </row>
    <row r="18" ht="20" customHeight="1" spans="1:8" x14ac:dyDescent="0.25">
      <c r="A18" s="8" t="s">
        <v>34</v>
      </c>
      <c r="B18" s="8" t="s">
        <v>35</v>
      </c>
      <c r="C18" s="9">
        <v>1250</v>
      </c>
      <c r="D18" s="10">
        <v>27.99</v>
      </c>
      <c r="E18" s="10">
        <v>5.5</v>
      </c>
      <c r="F18" s="10">
        <f>C18*D18</f>
      </c>
      <c r="G18" s="10">
        <v>5.1</v>
      </c>
      <c r="H18" s="10">
        <f>F18*0.15</f>
      </c>
    </row>
    <row r="19" ht="20" customHeight="1" spans="1:8" x14ac:dyDescent="0.25">
      <c r="A19" s="11" t="s">
        <v>36</v>
      </c>
      <c r="B19" s="11" t="s">
        <v>37</v>
      </c>
      <c r="C19" s="12">
        <v>440</v>
      </c>
      <c r="D19" s="13">
        <v>45.99</v>
      </c>
      <c r="E19" s="13">
        <v>12.1</v>
      </c>
      <c r="F19" s="13">
        <f>C19*D19</f>
      </c>
      <c r="G19" s="13">
        <v>6.4</v>
      </c>
      <c r="H19" s="13">
        <f>F19*0.15</f>
      </c>
    </row>
    <row r="20" ht="20" customHeight="1" spans="1:8" x14ac:dyDescent="0.25">
      <c r="A20" s="8" t="s">
        <v>38</v>
      </c>
      <c r="B20" s="8" t="s">
        <v>39</v>
      </c>
      <c r="C20" s="9">
        <v>490</v>
      </c>
      <c r="D20" s="10">
        <v>36.5</v>
      </c>
      <c r="E20" s="10">
        <v>8.8</v>
      </c>
      <c r="F20" s="10">
        <f>C20*D20</f>
      </c>
      <c r="G20" s="10">
        <v>6.1</v>
      </c>
      <c r="H20" s="10">
        <f>F20*0.15</f>
      </c>
    </row>
    <row r="21" ht="20" customHeight="1" spans="1:8" x14ac:dyDescent="0.25">
      <c r="A21" s="11" t="s">
        <v>40</v>
      </c>
      <c r="B21" s="11" t="s">
        <v>41</v>
      </c>
      <c r="C21" s="12">
        <v>820</v>
      </c>
      <c r="D21" s="13">
        <v>38.9</v>
      </c>
      <c r="E21" s="13">
        <v>9.2</v>
      </c>
      <c r="F21" s="13">
        <f>C21*D21</f>
      </c>
      <c r="G21" s="13">
        <v>5.3</v>
      </c>
      <c r="H21" s="13">
        <f>F21*0.15</f>
      </c>
    </row>
    <row r="22" ht="24" customHeight="1" spans="1:8" x14ac:dyDescent="0.25">
      <c r="A22" s="14" t="s">
        <v>42</v>
      </c>
      <c r="B22" s="14" t="s">
        <v>43</v>
      </c>
      <c r="C22" s="15">
        <f>SUM(C8:C21)</f>
      </c>
      <c r="D22" s="16" t="s">
        <v>43</v>
      </c>
      <c r="E22" s="16">
        <f>SUM(E8:E21)</f>
      </c>
      <c r="F22" s="16">
        <f>SUM(F8:F21)</f>
      </c>
      <c r="G22" s="16">
        <f>SUM(G8:G21)</f>
      </c>
      <c r="H22" s="16">
        <f>SUM(H8:H21)</f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&amp;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SmartCents &amp; BizTools Executive Suite</dc:creator>
  <dc:title/>
  <dc:subject/>
  <dc:description/>
  <cp:keywords/>
  <cp:category/>
  <cp:lastModifiedBy>Unknown</cp:lastModifiedBy>
  <dcterms:created xsi:type="dcterms:W3CDTF">2026-10-16T14:50:26Z</dcterms:created>
  <dcterms:modified xsi:type="dcterms:W3CDTF">2026-10-16T14:50:26Z</dcterms:modified>
</cp:coreProperties>
</file>
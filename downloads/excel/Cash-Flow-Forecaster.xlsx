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M Cash Flow Runway" state="visible" r:id="rId4"/>
  </sheets>
  <calcPr calcId="171027"/>
</workbook>
</file>

<file path=xl/sharedStrings.xml><?xml version="1.0" encoding="utf-8"?>
<sst xmlns="http://schemas.openxmlformats.org/spreadsheetml/2006/main" count="30" uniqueCount="30">
  <si>
    <t>12-MONTH BUSINESS CASH FLOW FORECASTER — INFLOWS, OUTFLOWS, NET BURN &amp; RUNWAY</t>
  </si>
  <si>
    <t>Corporate Treasury &amp; Liquidity Model | Working Capital, Payroll, OpEx &amp; Minimum Cash Alert</t>
  </si>
  <si>
    <t>STARTING CASH BALANCE</t>
  </si>
  <si>
    <t>12-MO TOTAL CASH INFLOWS</t>
  </si>
  <si>
    <t>12-MO TOTAL CASH OUTFLOWS</t>
  </si>
  <si>
    <t>LOWEST PROJECTED CASH BALANCE</t>
  </si>
  <si>
    <t>ENDING CASH BALANCE (MONTH 12)</t>
  </si>
  <si>
    <t>Month / Period</t>
  </si>
  <si>
    <t>Beginning Cash ($)</t>
  </si>
  <si>
    <t>Customer Collections</t>
  </si>
  <si>
    <t>Other / Financing Inflows</t>
  </si>
  <si>
    <t>Total Cash Inflows ($)</t>
  </si>
  <si>
    <t>Payroll &amp; Benefits</t>
  </si>
  <si>
    <t>Operating &amp; Vendor OpEx</t>
  </si>
  <si>
    <t>Total Cash Outflows ($)</t>
  </si>
  <si>
    <t>Net Monthly Cash Flow</t>
  </si>
  <si>
    <t>Ending Cash Balance ($)</t>
  </si>
  <si>
    <t>Month 1 — Jan 2026</t>
  </si>
  <si>
    <t>Month 2 — Feb 2026</t>
  </si>
  <si>
    <t>Month 3 — Mar 2026</t>
  </si>
  <si>
    <t>Month 4 — Apr 2026</t>
  </si>
  <si>
    <t>Month 5 — May 2026</t>
  </si>
  <si>
    <t>Month 6 — Jun 2026</t>
  </si>
  <si>
    <t>Month 7 — Jul 2026</t>
  </si>
  <si>
    <t>Month 8 — Aug 2026</t>
  </si>
  <si>
    <t>Month 9 — Sep 2026</t>
  </si>
  <si>
    <t>Month 10 — Oct 2026</t>
  </si>
  <si>
    <t>Month 11 — Nov 2026</t>
  </si>
  <si>
    <t>Month 12 — Dec 2026</t>
  </si>
  <si>
    <t>12-MONTH TOTAL /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</si>
</sst>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;&quot;-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D1FAE5"/>
      <sz val="10"/>
      <name val="Segoe UI"/>
    </font>
    <font>
      <b/>
      <color rgb="FF064E3B"/>
      <sz val="8"/>
      <name val="Segoe UI"/>
    </font>
    <font>
      <b/>
      <color rgb="FF0F172A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F172A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/>
      <right style="thin">
        <color rgb="FF10B981"/>
      </right>
      <top style="medium">
        <color rgb="FF10B981"/>
      </top>
      <bottom/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/>
    </xf>
    <xf numFmtId="164" fontId="6" fillId="5" borderId="4" xfId="0" applyNumberFormat="1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left" vertical="center"/>
    </xf>
    <xf numFmtId="164" fontId="6" fillId="6" borderId="4" xfId="0" applyNumberFormat="1" applyFont="1" applyFill="1" applyBorder="1" applyAlignment="1">
      <alignment horizontal="right" vertical="center"/>
    </xf>
    <xf numFmtId="0" fontId="7" fillId="7" borderId="5" xfId="0" applyFont="1" applyFill="1" applyBorder="1" applyAlignment="1">
      <alignment horizontal="left" vertical="center"/>
    </xf>
    <xf numFmtId="164" fontId="7" fillId="7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9" customWidth="1"/>
    <col min="3" max="3" width="20" customWidth="1"/>
    <col min="4" max="4" width="22" customWidth="1"/>
    <col min="5" max="5" width="20" customWidth="1"/>
    <col min="6" max="6" width="19" customWidth="1"/>
    <col min="7" max="7" width="21" customWidth="1"/>
    <col min="8" max="9" width="20" customWidth="1"/>
    <col min="10" max="10" width="22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18" customHeight="1" spans="1:10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ht="28" customHeight="1" spans="1:10" x14ac:dyDescent="0.25">
      <c r="A5" s="4">
        <f>B8</f>
      </c>
      <c r="B5" s="4"/>
      <c r="C5" s="4">
        <f>SUM(E8:E19)</f>
      </c>
      <c r="D5" s="4"/>
      <c r="E5" s="4">
        <f>SUM(H8:H19)</f>
      </c>
      <c r="F5" s="4"/>
      <c r="G5" s="4">
        <f>MIN(J8:J19)</f>
      </c>
      <c r="H5" s="4"/>
      <c r="I5" s="4">
        <f>J19</f>
      </c>
      <c r="J5" s="4"/>
    </row>
    <row r="6" ht="12" customHeight="1" x14ac:dyDescent="0.25"/>
    <row r="7" ht="26" customHeight="1" spans="1:10" x14ac:dyDescent="0.25">
      <c r="A7" s="5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</row>
    <row r="8" ht="21" customHeight="1" spans="1:10" x14ac:dyDescent="0.25">
      <c r="A8" s="7" t="s">
        <v>17</v>
      </c>
      <c r="B8" s="8">
        <v>450000</v>
      </c>
      <c r="C8" s="8">
        <v>128000</v>
      </c>
      <c r="D8" s="8">
        <v>0</v>
      </c>
      <c r="E8" s="8">
        <f>C8+D8</f>
      </c>
      <c r="F8" s="8">
        <v>98000</v>
      </c>
      <c r="G8" s="8">
        <v>46500</v>
      </c>
      <c r="H8" s="8">
        <f>F8+G8</f>
      </c>
      <c r="I8" s="8">
        <f>E8-H8</f>
      </c>
      <c r="J8" s="8">
        <f>B8+I8</f>
      </c>
    </row>
    <row r="9" ht="21" customHeight="1" spans="1:10" x14ac:dyDescent="0.25">
      <c r="A9" s="9" t="s">
        <v>18</v>
      </c>
      <c r="B9" s="10">
        <f>J8</f>
      </c>
      <c r="C9" s="10">
        <v>134500</v>
      </c>
      <c r="D9" s="10">
        <v>0</v>
      </c>
      <c r="E9" s="10">
        <f>C9+D9</f>
      </c>
      <c r="F9" s="10">
        <v>98000</v>
      </c>
      <c r="G9" s="10">
        <v>48200</v>
      </c>
      <c r="H9" s="10">
        <f>F9+G9</f>
      </c>
      <c r="I9" s="10">
        <f>E9-H9</f>
      </c>
      <c r="J9" s="10">
        <f>B9+I9</f>
      </c>
    </row>
    <row r="10" ht="21" customHeight="1" spans="1:10" x14ac:dyDescent="0.25">
      <c r="A10" s="7" t="s">
        <v>19</v>
      </c>
      <c r="B10" s="8">
        <f>J9</f>
      </c>
      <c r="C10" s="8">
        <v>142000</v>
      </c>
      <c r="D10" s="8">
        <v>15000</v>
      </c>
      <c r="E10" s="8">
        <f>C10+D10</f>
      </c>
      <c r="F10" s="8">
        <v>104000</v>
      </c>
      <c r="G10" s="8">
        <v>49800</v>
      </c>
      <c r="H10" s="8">
        <f>F10+G10</f>
      </c>
      <c r="I10" s="8">
        <f>E10-H10</f>
      </c>
      <c r="J10" s="8">
        <f>B10+I10</f>
      </c>
    </row>
    <row r="11" ht="21" customHeight="1" spans="1:10" x14ac:dyDescent="0.25">
      <c r="A11" s="9" t="s">
        <v>20</v>
      </c>
      <c r="B11" s="10">
        <f>J10</f>
      </c>
      <c r="C11" s="10">
        <v>151000</v>
      </c>
      <c r="D11" s="10">
        <v>0</v>
      </c>
      <c r="E11" s="10">
        <f>C11+D11</f>
      </c>
      <c r="F11" s="10">
        <v>104000</v>
      </c>
      <c r="G11" s="10">
        <v>52400</v>
      </c>
      <c r="H11" s="10">
        <f>F11+G11</f>
      </c>
      <c r="I11" s="10">
        <f>E11-H11</f>
      </c>
      <c r="J11" s="10">
        <f>B11+I11</f>
      </c>
    </row>
    <row r="12" ht="21" customHeight="1" spans="1:10" x14ac:dyDescent="0.25">
      <c r="A12" s="7" t="s">
        <v>21</v>
      </c>
      <c r="B12" s="8">
        <f>J11</f>
      </c>
      <c r="C12" s="8">
        <v>159500</v>
      </c>
      <c r="D12" s="8">
        <v>0</v>
      </c>
      <c r="E12" s="8">
        <f>C12+D12</f>
      </c>
      <c r="F12" s="8">
        <v>112000</v>
      </c>
      <c r="G12" s="8">
        <v>53900</v>
      </c>
      <c r="H12" s="8">
        <f>F12+G12</f>
      </c>
      <c r="I12" s="8">
        <f>E12-H12</f>
      </c>
      <c r="J12" s="8">
        <f>B12+I12</f>
      </c>
    </row>
    <row r="13" ht="21" customHeight="1" spans="1:10" x14ac:dyDescent="0.25">
      <c r="A13" s="9" t="s">
        <v>22</v>
      </c>
      <c r="B13" s="10">
        <f>J12</f>
      </c>
      <c r="C13" s="10">
        <v>168000</v>
      </c>
      <c r="D13" s="10">
        <v>250000</v>
      </c>
      <c r="E13" s="10">
        <f>C13+D13</f>
      </c>
      <c r="F13" s="10">
        <v>112000</v>
      </c>
      <c r="G13" s="10">
        <v>58100</v>
      </c>
      <c r="H13" s="10">
        <f>F13+G13</f>
      </c>
      <c r="I13" s="10">
        <f>E13-H13</f>
      </c>
      <c r="J13" s="10">
        <f>B13+I13</f>
      </c>
    </row>
    <row r="14" ht="21" customHeight="1" spans="1:10" x14ac:dyDescent="0.25">
      <c r="A14" s="7" t="s">
        <v>23</v>
      </c>
      <c r="B14" s="8">
        <f>J13</f>
      </c>
      <c r="C14" s="8">
        <v>179000</v>
      </c>
      <c r="D14" s="8">
        <v>0</v>
      </c>
      <c r="E14" s="8">
        <f>C14+D14</f>
      </c>
      <c r="F14" s="8">
        <v>118500</v>
      </c>
      <c r="G14" s="8">
        <v>56200</v>
      </c>
      <c r="H14" s="8">
        <f>F14+G14</f>
      </c>
      <c r="I14" s="8">
        <f>E14-H14</f>
      </c>
      <c r="J14" s="8">
        <f>B14+I14</f>
      </c>
    </row>
    <row r="15" ht="21" customHeight="1" spans="1:10" x14ac:dyDescent="0.25">
      <c r="A15" s="9" t="s">
        <v>24</v>
      </c>
      <c r="B15" s="10">
        <f>J14</f>
      </c>
      <c r="C15" s="10">
        <v>191500</v>
      </c>
      <c r="D15" s="10">
        <v>0</v>
      </c>
      <c r="E15" s="10">
        <f>C15+D15</f>
      </c>
      <c r="F15" s="10">
        <v>118500</v>
      </c>
      <c r="G15" s="10">
        <v>59400</v>
      </c>
      <c r="H15" s="10">
        <f>F15+G15</f>
      </c>
      <c r="I15" s="10">
        <f>E15-H15</f>
      </c>
      <c r="J15" s="10">
        <f>B15+I15</f>
      </c>
    </row>
    <row r="16" ht="21" customHeight="1" spans="1:10" x14ac:dyDescent="0.25">
      <c r="A16" s="7" t="s">
        <v>25</v>
      </c>
      <c r="B16" s="8">
        <f>J15</f>
      </c>
      <c r="C16" s="8">
        <v>204000</v>
      </c>
      <c r="D16" s="8">
        <v>0</v>
      </c>
      <c r="E16" s="8">
        <f>C16+D16</f>
      </c>
      <c r="F16" s="8">
        <v>125000</v>
      </c>
      <c r="G16" s="8">
        <v>61800</v>
      </c>
      <c r="H16" s="8">
        <f>F16+G16</f>
      </c>
      <c r="I16" s="8">
        <f>E16-H16</f>
      </c>
      <c r="J16" s="8">
        <f>B16+I16</f>
      </c>
    </row>
    <row r="17" ht="21" customHeight="1" spans="1:10" x14ac:dyDescent="0.25">
      <c r="A17" s="9" t="s">
        <v>26</v>
      </c>
      <c r="B17" s="10">
        <f>J16</f>
      </c>
      <c r="C17" s="10">
        <v>218000</v>
      </c>
      <c r="D17" s="10">
        <v>0</v>
      </c>
      <c r="E17" s="10">
        <f>C17+D17</f>
      </c>
      <c r="F17" s="10">
        <v>125000</v>
      </c>
      <c r="G17" s="10">
        <v>64500</v>
      </c>
      <c r="H17" s="10">
        <f>F17+G17</f>
      </c>
      <c r="I17" s="10">
        <f>E17-H17</f>
      </c>
      <c r="J17" s="10">
        <f>B17+I17</f>
      </c>
    </row>
    <row r="18" ht="21" customHeight="1" spans="1:10" x14ac:dyDescent="0.25">
      <c r="A18" s="7" t="s">
        <v>27</v>
      </c>
      <c r="B18" s="8">
        <f>J17</f>
      </c>
      <c r="C18" s="8">
        <v>233500</v>
      </c>
      <c r="D18" s="8">
        <v>10000</v>
      </c>
      <c r="E18" s="8">
        <f>C18+D18</f>
      </c>
      <c r="F18" s="8">
        <v>131000</v>
      </c>
      <c r="G18" s="8">
        <v>67200</v>
      </c>
      <c r="H18" s="8">
        <f>F18+G18</f>
      </c>
      <c r="I18" s="8">
        <f>E18-H18</f>
      </c>
      <c r="J18" s="8">
        <f>B18+I18</f>
      </c>
    </row>
    <row r="19" ht="21" customHeight="1" spans="1:10" x14ac:dyDescent="0.25">
      <c r="A19" s="9" t="s">
        <v>28</v>
      </c>
      <c r="B19" s="10">
        <f>J18</f>
      </c>
      <c r="C19" s="10">
        <v>252000</v>
      </c>
      <c r="D19" s="10">
        <v>0</v>
      </c>
      <c r="E19" s="10">
        <f>C19+D19</f>
      </c>
      <c r="F19" s="10">
        <v>131000</v>
      </c>
      <c r="G19" s="10">
        <v>71000</v>
      </c>
      <c r="H19" s="10">
        <f>F19+G19</f>
      </c>
      <c r="I19" s="10">
        <f>E19-H19</f>
      </c>
      <c r="J19" s="10">
        <f>B19+I19</f>
      </c>
    </row>
    <row r="20" ht="24" customHeight="1" spans="1:10" x14ac:dyDescent="0.25">
      <c r="A20" s="11" t="s">
        <v>29</v>
      </c>
      <c r="B20" s="12">
        <f>B8</f>
      </c>
      <c r="C20" s="12">
        <f>SUM(C8:C19)</f>
      </c>
      <c r="D20" s="12">
        <f>SUM(D8:D19)</f>
      </c>
      <c r="E20" s="12">
        <f>SUM(E8:E19)</f>
      </c>
      <c r="F20" s="12">
        <f>SUM(F8:F19)</f>
      </c>
      <c r="G20" s="12">
        <f>SUM(G8:G19)</f>
      </c>
      <c r="H20" s="12">
        <f>SUM(H8:H19)</f>
      </c>
      <c r="I20" s="12">
        <f>SUM(I8:I19)</f>
      </c>
      <c r="J20" s="12">
        <f>J19</f>
      </c>
    </row>
  </sheetData>
  <mergeCells count="12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12M Cash Flow Runway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2026-10-16T12:24:21Z</dcterms:created>
  <dcterms:modified xsi:type="dcterms:W3CDTF">2026-10-16T12:24:21Z</dcterms:modified>
</cp:coreProperties>
</file>
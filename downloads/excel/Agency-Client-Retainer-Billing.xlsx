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ainer Billing" state="visible" r:id="rId4"/>
  </sheets>
  <calcPr calcId="171027"/>
</workbook>
</file>

<file path=xl/sharedStrings.xml><?xml version="1.0" encoding="utf-8"?>
<sst xmlns="http://schemas.openxmlformats.org/spreadsheetml/2006/main" count="12" uniqueCount="12">
  <si>
    <t>Agency Client Retainer &amp; Billable Hours Utilization Ledger</t>
  </si>
  <si>
    <t>Client Account</t>
  </si>
  <si>
    <t>Monthly Retainer ($)</t>
  </si>
  <si>
    <t>Allotted Hours</t>
  </si>
  <si>
    <t>Hourly Target ($)</t>
  </si>
  <si>
    <t>Hours Logged</t>
  </si>
  <si>
    <t>Overages (Hrs)</t>
  </si>
  <si>
    <t>Overages Billed ($)</t>
  </si>
  <si>
    <t>Effective Hourly Rate ($)</t>
  </si>
  <si>
    <t>Apex Fintech Inc</t>
  </si>
  <si>
    <t>Nova SaaS Global</t>
  </si>
  <si>
    <t>Luminary E-Com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</si>
</sst>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0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 t="s">
        <v>9</v>
      </c>
      <c r="B5" s="3">
        <v>5000</v>
      </c>
      <c r="C5" s="3">
        <v>40</v>
      </c>
      <c r="D5" s="3">
        <f>B4/C4</f>
      </c>
      <c r="E5" s="3">
        <v>44</v>
      </c>
      <c r="F5" s="3">
        <f>MAX(0,E4-C4)</f>
      </c>
      <c r="G5" s="3">
        <f>F4*150</f>
      </c>
      <c r="H5" s="3">
        <f>(B4+G4)/E4</f>
      </c>
    </row>
    <row r="6" spans="1:8" x14ac:dyDescent="0.25">
      <c r="A6" s="3" t="s">
        <v>10</v>
      </c>
      <c r="B6" s="3">
        <v>7500</v>
      </c>
      <c r="C6" s="3">
        <v>60</v>
      </c>
      <c r="D6" s="3">
        <f>B5/C5</f>
      </c>
      <c r="E6" s="3">
        <v>58</v>
      </c>
      <c r="F6" s="3">
        <f>MAX(0,E5-C5)</f>
      </c>
      <c r="G6" s="3">
        <f>F5*150</f>
      </c>
      <c r="H6" s="3">
        <f>(B5+G5)/E5</f>
      </c>
    </row>
    <row r="7" spans="1:8" x14ac:dyDescent="0.25">
      <c r="A7" s="3" t="s">
        <v>11</v>
      </c>
      <c r="B7" s="3">
        <v>3500</v>
      </c>
      <c r="C7" s="3">
        <v>25</v>
      </c>
      <c r="D7" s="3">
        <f>B6/C6</f>
      </c>
      <c r="E7" s="3">
        <v>31</v>
      </c>
      <c r="F7" s="3">
        <f>MAX(0,E6-C6)</f>
      </c>
      <c r="G7" s="3">
        <f>F6*150</f>
      </c>
      <c r="H7" s="3">
        <f>(B6+G6)/E6</f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Retainer Billing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2026-10-16T16:03:57Z</dcterms:created>
  <dcterms:modified xsi:type="dcterms:W3CDTF">2026-10-16T16:03:57Z</dcterms:modified>
</cp:coreProperties>
</file>
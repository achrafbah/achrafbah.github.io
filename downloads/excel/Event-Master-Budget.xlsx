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 Master Budget" state="visible" r:id="rId4"/>
  </sheets>
  <calcPr calcId="171027"/>
</workbook>
</file>

<file path=xl/sharedStrings.xml><?xml version="1.0" encoding="utf-8"?>
<sst xmlns="http://schemas.openxmlformats.org/spreadsheetml/2006/main" count="64" uniqueCount="63">
  <si>
    <t>WEDDING &amp; CORPORATE EVENT MASTER BUDGET — ESTIMATED VS ACTUAL, DEPOSITS &amp; BALANCE DUE</t>
  </si>
  <si>
    <t>Executive Event Production Tracker | Vendor Contracts, Variance Analysis &amp; Payment Milestones</t>
  </si>
  <si>
    <t>TOTAL ESTIMATED BUDGET</t>
  </si>
  <si>
    <t>TOTAL ACTUAL CONTRACTED</t>
  </si>
  <si>
    <t>TOTAL BUDGET VARIANCE ($)</t>
  </si>
  <si>
    <t>TOTAL DEPOSITS PAID</t>
  </si>
  <si>
    <t>REMAINING BALANCE DUE</t>
  </si>
  <si>
    <t>Event Expense Line Item</t>
  </si>
  <si>
    <t>Category</t>
  </si>
  <si>
    <t>Contracted Vendor</t>
  </si>
  <si>
    <t>Estimated Budget ($)</t>
  </si>
  <si>
    <t>Actual Cost ($)</t>
  </si>
  <si>
    <t>Variance (Under / Over)</t>
  </si>
  <si>
    <t>Deposit Paid ($)</t>
  </si>
  <si>
    <t>Balance Due ($)</t>
  </si>
  <si>
    <t>Budget Status</t>
  </si>
  <si>
    <t>Grand Ballroom &amp; Terrace Rental</t>
  </si>
  <si>
    <t>Venue</t>
  </si>
  <si>
    <t>The Ritz-Carlton Plaza</t>
  </si>
  <si>
    <t>3-Course Plated Dinner &amp; Hors d'Oeuvres</t>
  </si>
  <si>
    <t>Catering</t>
  </si>
  <si>
    <t>Epicurean Culinary Group</t>
  </si>
  <si>
    <t>Top-Shelf Open Bar &amp; Sommelier Service</t>
  </si>
  <si>
    <t>Beverage</t>
  </si>
  <si>
    <t>Vintage Pour Events</t>
  </si>
  <si>
    <t>4K Cinema Video &amp; Documentary Photo</t>
  </si>
  <si>
    <t>Media</t>
  </si>
  <si>
    <t>Lumiere Visual Studios</t>
  </si>
  <si>
    <t>Stage Lighting, LED Wall &amp; Sound</t>
  </si>
  <si>
    <t>AV &amp; Production</t>
  </si>
  <si>
    <t>Apex Stageworks Inc.</t>
  </si>
  <si>
    <t>Centerpieces, Arch &amp; Floral Installations</t>
  </si>
  <si>
    <t>Decor &amp; Floral</t>
  </si>
  <si>
    <t>Botanica Luxe Design</t>
  </si>
  <si>
    <t>Live Jazz Quartet &amp; Reception DJ</t>
  </si>
  <si>
    <t>Entertainment</t>
  </si>
  <si>
    <t>Encore Talent Agency</t>
  </si>
  <si>
    <t>Lead Event Planner &amp; Day-Of Staff</t>
  </si>
  <si>
    <t>Coordination</t>
  </si>
  <si>
    <t>Bespoke Affairs Co.</t>
  </si>
  <si>
    <t>Foil-Stamped Invitations &amp; Signage</t>
  </si>
  <si>
    <t>Print &amp; Branding</t>
  </si>
  <si>
    <t>Atelier Press Studio</t>
  </si>
  <si>
    <t>VIP Executive Coach &amp; Valet Fleet</t>
  </si>
  <si>
    <t>Logistics</t>
  </si>
  <si>
    <t>Premier Chauffeur Limo</t>
  </si>
  <si>
    <t>Artisan Tiered Cake &amp; Espresso Bar</t>
  </si>
  <si>
    <t>Patisserie Belle</t>
  </si>
  <si>
    <t>Custom Lounge Furniture &amp; Drapery</t>
  </si>
  <si>
    <t>Rentals</t>
  </si>
  <si>
    <t>Moderne Event Rentals</t>
  </si>
  <si>
    <t>VIP Speaker / Bridal Party Gifts</t>
  </si>
  <si>
    <t>Hospitality</t>
  </si>
  <si>
    <t>Tiffany &amp; Co. Corporate</t>
  </si>
  <si>
    <t>Event Liability Insurance &amp; Security</t>
  </si>
  <si>
    <t>Operations</t>
  </si>
  <si>
    <t>Chubb Event Protection</t>
  </si>
  <si>
    <t>Hotel Welcome Bags &amp; Shuttle Service</t>
  </si>
  <si>
    <t>Guest Experience</t>
  </si>
  <si>
    <t>Marriott Marquis Group</t>
  </si>
  <si>
    <t>MASTER EVENT BUDGET TOTALS</t>
  </si>
  <si>
    <t>15 Vendors</t>
  </si>
  <si>
    <t>All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</si>
</sst>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;&quot;-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8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 style="thin">
        <color rgb="FF10B981"/>
      </left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10B981"/>
      </left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right" vertical="center"/>
    </xf>
    <xf numFmtId="164" fontId="7" fillId="7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6" customWidth="1"/>
    <col min="4" max="4" width="20" customWidth="1"/>
    <col min="5" max="5" width="18" customWidth="1"/>
    <col min="6" max="6" width="22" customWidth="1"/>
    <col min="7" max="9" width="18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0" customHeight="1" x14ac:dyDescent="0.25"/>
    <row r="4" ht="18" customHeight="1" spans="1:9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4" t="s">
        <v>5</v>
      </c>
      <c r="H4" s="3" t="s">
        <v>6</v>
      </c>
      <c r="I4" s="3"/>
    </row>
    <row r="5" ht="28" customHeight="1" spans="1:9" x14ac:dyDescent="0.25">
      <c r="A5" s="5">
        <f>SUM(D8:D22)</f>
      </c>
      <c r="B5" s="5"/>
      <c r="C5" s="5">
        <f>SUM(E8:E22)</f>
      </c>
      <c r="D5" s="5"/>
      <c r="E5" s="5">
        <f>SUM(F8:F22)</f>
      </c>
      <c r="F5" s="5"/>
      <c r="G5" s="6">
        <f>SUM(G8:G22)</f>
      </c>
      <c r="H5" s="5">
        <f>SUM(H8:H22)</f>
      </c>
      <c r="I5" s="5"/>
    </row>
    <row r="6" ht="12" customHeight="1" x14ac:dyDescent="0.25"/>
    <row r="7" ht="26" customHeight="1" spans="1:9" x14ac:dyDescent="0.25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</row>
    <row r="8" ht="21" customHeight="1" spans="1:9" x14ac:dyDescent="0.25">
      <c r="A8" s="9" t="s">
        <v>16</v>
      </c>
      <c r="B8" s="10" t="s">
        <v>17</v>
      </c>
      <c r="C8" s="9" t="s">
        <v>18</v>
      </c>
      <c r="D8" s="11">
        <v>18500</v>
      </c>
      <c r="E8" s="11">
        <v>18000</v>
      </c>
      <c r="F8" s="11">
        <f>D8-E8</f>
      </c>
      <c r="G8" s="11">
        <v>9000</v>
      </c>
      <c r="H8" s="11">
        <f>E8-G8</f>
      </c>
      <c r="I8" s="10">
        <f>IF(E8&gt;D8,"OVER BUDGET","ON TRACK")</f>
      </c>
    </row>
    <row r="9" ht="21" customHeight="1" spans="1:9" x14ac:dyDescent="0.25">
      <c r="A9" s="12" t="s">
        <v>19</v>
      </c>
      <c r="B9" s="13" t="s">
        <v>20</v>
      </c>
      <c r="C9" s="12" t="s">
        <v>21</v>
      </c>
      <c r="D9" s="14">
        <v>24000</v>
      </c>
      <c r="E9" s="14">
        <v>25400</v>
      </c>
      <c r="F9" s="14">
        <f>D9-E9</f>
      </c>
      <c r="G9" s="14">
        <v>12700</v>
      </c>
      <c r="H9" s="14">
        <f>E9-G9</f>
      </c>
      <c r="I9" s="13">
        <f>IF(E9&gt;D9,"OVER BUDGET","ON TRACK")</f>
      </c>
    </row>
    <row r="10" ht="21" customHeight="1" spans="1:9" x14ac:dyDescent="0.25">
      <c r="A10" s="9" t="s">
        <v>22</v>
      </c>
      <c r="B10" s="10" t="s">
        <v>23</v>
      </c>
      <c r="C10" s="9" t="s">
        <v>24</v>
      </c>
      <c r="D10" s="11">
        <v>6800</v>
      </c>
      <c r="E10" s="11">
        <v>6450</v>
      </c>
      <c r="F10" s="11">
        <f>D10-E10</f>
      </c>
      <c r="G10" s="11">
        <v>3200</v>
      </c>
      <c r="H10" s="11">
        <f>E10-G10</f>
      </c>
      <c r="I10" s="10">
        <f>IF(E10&gt;D10,"OVER BUDGET","ON TRACK")</f>
      </c>
    </row>
    <row r="11" ht="21" customHeight="1" spans="1:9" x14ac:dyDescent="0.25">
      <c r="A11" s="12" t="s">
        <v>25</v>
      </c>
      <c r="B11" s="13" t="s">
        <v>26</v>
      </c>
      <c r="C11" s="12" t="s">
        <v>27</v>
      </c>
      <c r="D11" s="14">
        <v>7500</v>
      </c>
      <c r="E11" s="14">
        <v>7500</v>
      </c>
      <c r="F11" s="14">
        <f>D11-E11</f>
      </c>
      <c r="G11" s="14">
        <v>3750</v>
      </c>
      <c r="H11" s="14">
        <f>E11-G11</f>
      </c>
      <c r="I11" s="13">
        <f>IF(E11&gt;D11,"OVER BUDGET","ON TRACK")</f>
      </c>
    </row>
    <row r="12" ht="21" customHeight="1" spans="1:9" x14ac:dyDescent="0.25">
      <c r="A12" s="9" t="s">
        <v>28</v>
      </c>
      <c r="B12" s="10" t="s">
        <v>29</v>
      </c>
      <c r="C12" s="9" t="s">
        <v>30</v>
      </c>
      <c r="D12" s="11">
        <v>9200</v>
      </c>
      <c r="E12" s="11">
        <v>8850</v>
      </c>
      <c r="F12" s="11">
        <f>D12-E12</f>
      </c>
      <c r="G12" s="11">
        <v>4500</v>
      </c>
      <c r="H12" s="11">
        <f>E12-G12</f>
      </c>
      <c r="I12" s="10">
        <f>IF(E12&gt;D12,"OVER BUDGET","ON TRACK")</f>
      </c>
    </row>
    <row r="13" ht="21" customHeight="1" spans="1:9" x14ac:dyDescent="0.25">
      <c r="A13" s="12" t="s">
        <v>31</v>
      </c>
      <c r="B13" s="13" t="s">
        <v>32</v>
      </c>
      <c r="C13" s="12" t="s">
        <v>33</v>
      </c>
      <c r="D13" s="14">
        <v>6500</v>
      </c>
      <c r="E13" s="14">
        <v>7100</v>
      </c>
      <c r="F13" s="14">
        <f>D13-E13</f>
      </c>
      <c r="G13" s="14">
        <v>3550</v>
      </c>
      <c r="H13" s="14">
        <f>E13-G13</f>
      </c>
      <c r="I13" s="13">
        <f>IF(E13&gt;D13,"OVER BUDGET","ON TRACK")</f>
      </c>
    </row>
    <row r="14" ht="21" customHeight="1" spans="1:9" x14ac:dyDescent="0.25">
      <c r="A14" s="9" t="s">
        <v>34</v>
      </c>
      <c r="B14" s="10" t="s">
        <v>35</v>
      </c>
      <c r="C14" s="9" t="s">
        <v>36</v>
      </c>
      <c r="D14" s="11">
        <v>4800</v>
      </c>
      <c r="E14" s="11">
        <v>4600</v>
      </c>
      <c r="F14" s="11">
        <f>D14-E14</f>
      </c>
      <c r="G14" s="11">
        <v>2300</v>
      </c>
      <c r="H14" s="11">
        <f>E14-G14</f>
      </c>
      <c r="I14" s="10">
        <f>IF(E14&gt;D14,"OVER BUDGET","ON TRACK")</f>
      </c>
    </row>
    <row r="15" ht="21" customHeight="1" spans="1:9" x14ac:dyDescent="0.25">
      <c r="A15" s="12" t="s">
        <v>37</v>
      </c>
      <c r="B15" s="13" t="s">
        <v>38</v>
      </c>
      <c r="C15" s="12" t="s">
        <v>39</v>
      </c>
      <c r="D15" s="14">
        <v>5500</v>
      </c>
      <c r="E15" s="14">
        <v>5500</v>
      </c>
      <c r="F15" s="14">
        <f>D15-E15</f>
      </c>
      <c r="G15" s="14">
        <v>5500</v>
      </c>
      <c r="H15" s="14">
        <f>E15-G15</f>
      </c>
      <c r="I15" s="13">
        <f>IF(E15&gt;D15,"OVER BUDGET","ON TRACK")</f>
      </c>
    </row>
    <row r="16" ht="21" customHeight="1" spans="1:9" x14ac:dyDescent="0.25">
      <c r="A16" s="9" t="s">
        <v>40</v>
      </c>
      <c r="B16" s="10" t="s">
        <v>41</v>
      </c>
      <c r="C16" s="9" t="s">
        <v>42</v>
      </c>
      <c r="D16" s="11">
        <v>2200</v>
      </c>
      <c r="E16" s="11">
        <v>1980</v>
      </c>
      <c r="F16" s="11">
        <f>D16-E16</f>
      </c>
      <c r="G16" s="11">
        <v>1980</v>
      </c>
      <c r="H16" s="11">
        <f>E16-G16</f>
      </c>
      <c r="I16" s="10">
        <f>IF(E16&gt;D16,"OVER BUDGET","ON TRACK")</f>
      </c>
    </row>
    <row r="17" ht="21" customHeight="1" spans="1:9" x14ac:dyDescent="0.25">
      <c r="A17" s="12" t="s">
        <v>43</v>
      </c>
      <c r="B17" s="13" t="s">
        <v>44</v>
      </c>
      <c r="C17" s="12" t="s">
        <v>45</v>
      </c>
      <c r="D17" s="14">
        <v>3400</v>
      </c>
      <c r="E17" s="14">
        <v>3650</v>
      </c>
      <c r="F17" s="14">
        <f>D17-E17</f>
      </c>
      <c r="G17" s="14">
        <v>1800</v>
      </c>
      <c r="H17" s="14">
        <f>E17-G17</f>
      </c>
      <c r="I17" s="13">
        <f>IF(E17&gt;D17,"OVER BUDGET","ON TRACK")</f>
      </c>
    </row>
    <row r="18" ht="21" customHeight="1" spans="1:9" x14ac:dyDescent="0.25">
      <c r="A18" s="9" t="s">
        <v>46</v>
      </c>
      <c r="B18" s="10" t="s">
        <v>20</v>
      </c>
      <c r="C18" s="9" t="s">
        <v>47</v>
      </c>
      <c r="D18" s="11">
        <v>1850</v>
      </c>
      <c r="E18" s="11">
        <v>1790</v>
      </c>
      <c r="F18" s="11">
        <f>D18-E18</f>
      </c>
      <c r="G18" s="11">
        <v>900</v>
      </c>
      <c r="H18" s="11">
        <f>E18-G18</f>
      </c>
      <c r="I18" s="10">
        <f>IF(E18&gt;D18,"OVER BUDGET","ON TRACK")</f>
      </c>
    </row>
    <row r="19" ht="21" customHeight="1" spans="1:9" x14ac:dyDescent="0.25">
      <c r="A19" s="12" t="s">
        <v>48</v>
      </c>
      <c r="B19" s="13" t="s">
        <v>49</v>
      </c>
      <c r="C19" s="12" t="s">
        <v>50</v>
      </c>
      <c r="D19" s="14">
        <v>4200</v>
      </c>
      <c r="E19" s="14">
        <v>4100</v>
      </c>
      <c r="F19" s="14">
        <f>D19-E19</f>
      </c>
      <c r="G19" s="14">
        <v>2050</v>
      </c>
      <c r="H19" s="14">
        <f>E19-G19</f>
      </c>
      <c r="I19" s="13">
        <f>IF(E19&gt;D19,"OVER BUDGET","ON TRACK")</f>
      </c>
    </row>
    <row r="20" ht="21" customHeight="1" spans="1:9" x14ac:dyDescent="0.25">
      <c r="A20" s="9" t="s">
        <v>51</v>
      </c>
      <c r="B20" s="10" t="s">
        <v>52</v>
      </c>
      <c r="C20" s="9" t="s">
        <v>53</v>
      </c>
      <c r="D20" s="11">
        <v>2600</v>
      </c>
      <c r="E20" s="11">
        <v>2480</v>
      </c>
      <c r="F20" s="11">
        <f>D20-E20</f>
      </c>
      <c r="G20" s="11">
        <v>2480</v>
      </c>
      <c r="H20" s="11">
        <f>E20-G20</f>
      </c>
      <c r="I20" s="10">
        <f>IF(E20&gt;D20,"OVER BUDGET","ON TRACK")</f>
      </c>
    </row>
    <row r="21" ht="21" customHeight="1" spans="1:9" x14ac:dyDescent="0.25">
      <c r="A21" s="12" t="s">
        <v>54</v>
      </c>
      <c r="B21" s="13" t="s">
        <v>55</v>
      </c>
      <c r="C21" s="12" t="s">
        <v>56</v>
      </c>
      <c r="D21" s="14">
        <v>1600</v>
      </c>
      <c r="E21" s="14">
        <v>1550</v>
      </c>
      <c r="F21" s="14">
        <f>D21-E21</f>
      </c>
      <c r="G21" s="14">
        <v>1550</v>
      </c>
      <c r="H21" s="14">
        <f>E21-G21</f>
      </c>
      <c r="I21" s="13">
        <f>IF(E21&gt;D21,"OVER BUDGET","ON TRACK")</f>
      </c>
    </row>
    <row r="22" ht="21" customHeight="1" spans="1:9" x14ac:dyDescent="0.25">
      <c r="A22" s="9" t="s">
        <v>57</v>
      </c>
      <c r="B22" s="10" t="s">
        <v>58</v>
      </c>
      <c r="C22" s="9" t="s">
        <v>59</v>
      </c>
      <c r="D22" s="11">
        <v>2900</v>
      </c>
      <c r="E22" s="11">
        <v>3120</v>
      </c>
      <c r="F22" s="11">
        <f>D22-E22</f>
      </c>
      <c r="G22" s="11">
        <v>1500</v>
      </c>
      <c r="H22" s="11">
        <f>E22-G22</f>
      </c>
      <c r="I22" s="10">
        <f>IF(E22&gt;D22,"OVER BUDGET","ON TRACK")</f>
      </c>
    </row>
    <row r="23" ht="24" customHeight="1" spans="1:9" x14ac:dyDescent="0.25">
      <c r="A23" s="15" t="s">
        <v>60</v>
      </c>
      <c r="B23" s="16" t="s">
        <v>61</v>
      </c>
      <c r="C23" s="16" t="s">
        <v>62</v>
      </c>
      <c r="D23" s="17">
        <f>SUM(D8:D22)</f>
      </c>
      <c r="E23" s="17">
        <f>SUM(E8:E22)</f>
      </c>
      <c r="F23" s="17">
        <f>SUM(F8:F22)</f>
      </c>
      <c r="G23" s="17">
        <f>SUM(G8:G22)</f>
      </c>
      <c r="H23" s="17">
        <f>SUM(H8:H22)</f>
      </c>
      <c r="I23" s="16">
        <f>IF(E23&gt;D23,"NET OVER","UNDER BUDGET")</f>
      </c>
    </row>
  </sheetData>
  <mergeCells count="10">
    <mergeCell ref="A1:I1"/>
    <mergeCell ref="A2:I2"/>
    <mergeCell ref="A4:B4"/>
    <mergeCell ref="C4:D4"/>
    <mergeCell ref="E4:F4"/>
    <mergeCell ref="H4:I4"/>
    <mergeCell ref="A5:B5"/>
    <mergeCell ref="C5:D5"/>
    <mergeCell ref="E5:F5"/>
    <mergeCell ref="H5:I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Master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2026-10-16T12:24:21Z</dcterms:created>
  <dcterms:modified xsi:type="dcterms:W3CDTF">2026-10-16T12:24:21Z</dcterms:modified>
</cp:coreProperties>
</file>
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<sst xmlns="http://schemas.openxmlformats.org/spreadsheetml/2006/main" count="46" uniqueCount="44">
  <si>
    <t>CORPORATE VEHICLE FLEET DEPRECIATION &amp; LEASE EXPENSE TRACKER</t>
  </si>
  <si>
    <t>BizTools Executive Financial &amp; Operations Engine • Automated Dynamic Formulas</t>
  </si>
  <si>
    <t>Fleet Purchase Value</t>
  </si>
  <si>
    <t>Current Book Value</t>
  </si>
  <si>
    <t>Annual Depreciation</t>
  </si>
  <si>
    <t>Monthly Fleet Lease/Op</t>
  </si>
  <si>
    <t>Vehicle ID / Plate</t>
  </si>
  <si>
    <t>Vehicle Make &amp; Model</t>
  </si>
  <si>
    <t>Year Acquired</t>
  </si>
  <si>
    <t>Initial Cost</t>
  </si>
  <si>
    <t>Useful Life (Yrs)</t>
  </si>
  <si>
    <t>Annual Deprec.</t>
  </si>
  <si>
    <t>Monthly OpCost</t>
  </si>
  <si>
    <t>FL-101 (Sprinter)</t>
  </si>
  <si>
    <t>Mercedes Sprinter 2500</t>
  </si>
  <si>
    <t>FL-102 (Transit)</t>
  </si>
  <si>
    <t>Ford Transit 350 HD</t>
  </si>
  <si>
    <t>FL-103 (Transit)</t>
  </si>
  <si>
    <t>Ford Transit Cargo</t>
  </si>
  <si>
    <t>FL-104 (F-150)</t>
  </si>
  <si>
    <t>Ford F-150 Lightning</t>
  </si>
  <si>
    <t>FL-105 (Silverado)</t>
  </si>
  <si>
    <t>Chevy Silverado 2500</t>
  </si>
  <si>
    <t>FL-106 (Model Y)</t>
  </si>
  <si>
    <t>Tesla Model Y Fleet</t>
  </si>
  <si>
    <t>FL-107 (Model 3)</t>
  </si>
  <si>
    <t>Tesla Model 3 Exec</t>
  </si>
  <si>
    <t>FL-108 (Ram Pro)</t>
  </si>
  <si>
    <t>Ram ProMaster 2500</t>
  </si>
  <si>
    <t>FL-109 (Forklift A)</t>
  </si>
  <si>
    <t>Toyota 8FGU25 Forklift</t>
  </si>
  <si>
    <t>FL-110 (Forklift B)</t>
  </si>
  <si>
    <t>Hyster Electric 5000</t>
  </si>
  <si>
    <t>FL-111 (Box Truck)</t>
  </si>
  <si>
    <t>Isuzu NPR-HD 16ft</t>
  </si>
  <si>
    <t>FL-112 (Box Truck)</t>
  </si>
  <si>
    <t>Freightliner M2 24ft</t>
  </si>
  <si>
    <t>FL-113 (Sedan)</t>
  </si>
  <si>
    <t>Toyota Camry Hybrid</t>
  </si>
  <si>
    <t>FL-114 (Sedan)</t>
  </si>
  <si>
    <t>Honda Accord Hybrid</t>
  </si>
  <si>
    <t>FLEET TOTAL</t>
  </si>
  <si>
    <t/>
  </si>
  <si>
    <t>14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</si>
</sst>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7" customWidth="1"/>
    <col min="2" max="2" width="20" customWidth="1"/>
    <col min="3" max="3" width="14" customWidth="1"/>
    <col min="4" max="4" width="16" customWidth="1"/>
    <col min="5" max="5" width="15" customWidth="1"/>
    <col min="6" max="6" width="16" customWidth="1"/>
    <col min="7" max="7" width="18" customWidth="1"/>
    <col min="8" max="8" width="1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SUM(D8:D21)</f>
      </c>
      <c r="B5" s="4"/>
      <c r="C5" s="4">
        <f>SUM(G8:G21)</f>
      </c>
      <c r="D5" s="4"/>
      <c r="E5" s="4">
        <f>SUM(F8:F21)</f>
      </c>
      <c r="F5" s="4"/>
      <c r="G5" s="4">
        <f>SUM(H8:H21)</f>
      </c>
      <c r="H5" s="4"/>
    </row>
    <row r="7" ht="26" customHeight="1" spans="1:8" x14ac:dyDescent="0.25">
      <c r="A7" s="5" t="s">
        <v>6</v>
      </c>
      <c r="B7" s="5" t="s">
        <v>7</v>
      </c>
      <c r="C7" s="6" t="s">
        <v>8</v>
      </c>
      <c r="D7" s="7" t="s">
        <v>9</v>
      </c>
      <c r="E7" s="6" t="s">
        <v>10</v>
      </c>
      <c r="F7" s="7" t="s">
        <v>11</v>
      </c>
      <c r="G7" s="7" t="s">
        <v>3</v>
      </c>
      <c r="H7" s="7" t="s">
        <v>12</v>
      </c>
    </row>
    <row r="8" ht="20" customHeight="1" spans="1:8" x14ac:dyDescent="0.25">
      <c r="A8" s="8" t="s">
        <v>13</v>
      </c>
      <c r="B8" s="8" t="s">
        <v>14</v>
      </c>
      <c r="C8" s="9">
        <v>2023</v>
      </c>
      <c r="D8" s="10">
        <v>62000</v>
      </c>
      <c r="E8" s="9">
        <v>5</v>
      </c>
      <c r="F8" s="10">
        <f>D8/E8</f>
      </c>
      <c r="G8" s="10">
        <f>D8 - F8*3</f>
      </c>
      <c r="H8" s="10">
        <v>750</v>
      </c>
    </row>
    <row r="9" ht="20" customHeight="1" spans="1:8" x14ac:dyDescent="0.25">
      <c r="A9" s="11" t="s">
        <v>15</v>
      </c>
      <c r="B9" s="11" t="s">
        <v>16</v>
      </c>
      <c r="C9" s="12">
        <v>2024</v>
      </c>
      <c r="D9" s="13">
        <v>54000</v>
      </c>
      <c r="E9" s="12">
        <v>5</v>
      </c>
      <c r="F9" s="13">
        <f>D9/E9</f>
      </c>
      <c r="G9" s="13">
        <f>D9 - F9*2</f>
      </c>
      <c r="H9" s="13">
        <v>680</v>
      </c>
    </row>
    <row r="10" ht="20" customHeight="1" spans="1:8" x14ac:dyDescent="0.25">
      <c r="A10" s="8" t="s">
        <v>17</v>
      </c>
      <c r="B10" s="8" t="s">
        <v>18</v>
      </c>
      <c r="C10" s="9">
        <v>2024</v>
      </c>
      <c r="D10" s="10">
        <v>52000</v>
      </c>
      <c r="E10" s="9">
        <v>5</v>
      </c>
      <c r="F10" s="10">
        <f>D10/E10</f>
      </c>
      <c r="G10" s="10">
        <f>D10 - F10*2</f>
      </c>
      <c r="H10" s="10">
        <v>650</v>
      </c>
    </row>
    <row r="11" ht="20" customHeight="1" spans="1:8" x14ac:dyDescent="0.25">
      <c r="A11" s="11" t="s">
        <v>19</v>
      </c>
      <c r="B11" s="11" t="s">
        <v>20</v>
      </c>
      <c r="C11" s="12">
        <v>2023</v>
      </c>
      <c r="D11" s="13">
        <v>68000</v>
      </c>
      <c r="E11" s="12">
        <v>5</v>
      </c>
      <c r="F11" s="13">
        <f>D11/E11</f>
      </c>
      <c r="G11" s="13">
        <f>D11 - F11*3</f>
      </c>
      <c r="H11" s="13">
        <v>520</v>
      </c>
    </row>
    <row r="12" ht="20" customHeight="1" spans="1:8" x14ac:dyDescent="0.25">
      <c r="A12" s="8" t="s">
        <v>21</v>
      </c>
      <c r="B12" s="8" t="s">
        <v>22</v>
      </c>
      <c r="C12" s="9">
        <v>2022</v>
      </c>
      <c r="D12" s="10">
        <v>59000</v>
      </c>
      <c r="E12" s="9">
        <v>5</v>
      </c>
      <c r="F12" s="10">
        <f>D12/E12</f>
      </c>
      <c r="G12" s="10">
        <f>D12 - F12*4</f>
      </c>
      <c r="H12" s="10">
        <v>710</v>
      </c>
    </row>
    <row r="13" ht="20" customHeight="1" spans="1:8" x14ac:dyDescent="0.25">
      <c r="A13" s="11" t="s">
        <v>23</v>
      </c>
      <c r="B13" s="11" t="s">
        <v>24</v>
      </c>
      <c r="C13" s="12">
        <v>2024</v>
      </c>
      <c r="D13" s="13">
        <v>46000</v>
      </c>
      <c r="E13" s="12">
        <v>5</v>
      </c>
      <c r="F13" s="13">
        <f>D13/E13</f>
      </c>
      <c r="G13" s="13">
        <f>D13 - F13*2</f>
      </c>
      <c r="H13" s="13">
        <v>380</v>
      </c>
    </row>
    <row r="14" ht="20" customHeight="1" spans="1:8" x14ac:dyDescent="0.25">
      <c r="A14" s="8" t="s">
        <v>25</v>
      </c>
      <c r="B14" s="8" t="s">
        <v>26</v>
      </c>
      <c r="C14" s="9">
        <v>2024</v>
      </c>
      <c r="D14" s="10">
        <v>42000</v>
      </c>
      <c r="E14" s="9">
        <v>5</v>
      </c>
      <c r="F14" s="10">
        <f>D14/E14</f>
      </c>
      <c r="G14" s="10">
        <f>D14 - F14*2</f>
      </c>
      <c r="H14" s="10">
        <v>340</v>
      </c>
    </row>
    <row r="15" ht="20" customHeight="1" spans="1:8" x14ac:dyDescent="0.25">
      <c r="A15" s="11" t="s">
        <v>27</v>
      </c>
      <c r="B15" s="11" t="s">
        <v>28</v>
      </c>
      <c r="C15" s="12">
        <v>2023</v>
      </c>
      <c r="D15" s="13">
        <v>49000</v>
      </c>
      <c r="E15" s="12">
        <v>5</v>
      </c>
      <c r="F15" s="13">
        <f>D15/E15</f>
      </c>
      <c r="G15" s="13">
        <f>D15 - F15*3</f>
      </c>
      <c r="H15" s="13">
        <v>620</v>
      </c>
    </row>
    <row r="16" ht="20" customHeight="1" spans="1:8" x14ac:dyDescent="0.25">
      <c r="A16" s="8" t="s">
        <v>29</v>
      </c>
      <c r="B16" s="8" t="s">
        <v>30</v>
      </c>
      <c r="C16" s="9">
        <v>2021</v>
      </c>
      <c r="D16" s="10">
        <v>38000</v>
      </c>
      <c r="E16" s="9">
        <v>7</v>
      </c>
      <c r="F16" s="10">
        <f>D16/E16</f>
      </c>
      <c r="G16" s="10">
        <f>D16 - F16*5</f>
      </c>
      <c r="H16" s="10">
        <v>290</v>
      </c>
    </row>
    <row r="17" ht="20" customHeight="1" spans="1:8" x14ac:dyDescent="0.25">
      <c r="A17" s="11" t="s">
        <v>31</v>
      </c>
      <c r="B17" s="11" t="s">
        <v>32</v>
      </c>
      <c r="C17" s="12">
        <v>2022</v>
      </c>
      <c r="D17" s="13">
        <v>41000</v>
      </c>
      <c r="E17" s="12">
        <v>7</v>
      </c>
      <c r="F17" s="13">
        <f>D17/E17</f>
      </c>
      <c r="G17" s="13">
        <f>D17 - F17*4</f>
      </c>
      <c r="H17" s="13">
        <v>310</v>
      </c>
    </row>
    <row r="18" ht="20" customHeight="1" spans="1:8" x14ac:dyDescent="0.25">
      <c r="A18" s="8" t="s">
        <v>33</v>
      </c>
      <c r="B18" s="8" t="s">
        <v>34</v>
      </c>
      <c r="C18" s="9">
        <v>2022</v>
      </c>
      <c r="D18" s="10">
        <v>78000</v>
      </c>
      <c r="E18" s="9">
        <v>6</v>
      </c>
      <c r="F18" s="10">
        <f>D18/E18</f>
      </c>
      <c r="G18" s="10">
        <f>D18 - F18*4</f>
      </c>
      <c r="H18" s="10">
        <v>890</v>
      </c>
    </row>
    <row r="19" ht="20" customHeight="1" spans="1:8" x14ac:dyDescent="0.25">
      <c r="A19" s="11" t="s">
        <v>35</v>
      </c>
      <c r="B19" s="11" t="s">
        <v>36</v>
      </c>
      <c r="C19" s="12">
        <v>2021</v>
      </c>
      <c r="D19" s="13">
        <v>95000</v>
      </c>
      <c r="E19" s="12">
        <v>6</v>
      </c>
      <c r="F19" s="13">
        <f>D19/E19</f>
      </c>
      <c r="G19" s="13">
        <f>D19 - F19*5</f>
      </c>
      <c r="H19" s="13">
        <v>1120</v>
      </c>
    </row>
    <row r="20" ht="20" customHeight="1" spans="1:8" x14ac:dyDescent="0.25">
      <c r="A20" s="8" t="s">
        <v>37</v>
      </c>
      <c r="B20" s="8" t="s">
        <v>38</v>
      </c>
      <c r="C20" s="9">
        <v>2024</v>
      </c>
      <c r="D20" s="10">
        <v>32000</v>
      </c>
      <c r="E20" s="9">
        <v>5</v>
      </c>
      <c r="F20" s="10">
        <f>D20/E20</f>
      </c>
      <c r="G20" s="10">
        <f>D20 - F20*2</f>
      </c>
      <c r="H20" s="10">
        <v>280</v>
      </c>
    </row>
    <row r="21" ht="20" customHeight="1" spans="1:8" x14ac:dyDescent="0.25">
      <c r="A21" s="11" t="s">
        <v>39</v>
      </c>
      <c r="B21" s="11" t="s">
        <v>40</v>
      </c>
      <c r="C21" s="12">
        <v>2024</v>
      </c>
      <c r="D21" s="13">
        <v>34000</v>
      </c>
      <c r="E21" s="12">
        <v>5</v>
      </c>
      <c r="F21" s="13">
        <f>D21/E21</f>
      </c>
      <c r="G21" s="13">
        <f>D21 - F21*2</f>
      </c>
      <c r="H21" s="13">
        <v>290</v>
      </c>
    </row>
    <row r="22" ht="24" customHeight="1" spans="1:8" x14ac:dyDescent="0.25">
      <c r="A22" s="14" t="s">
        <v>41</v>
      </c>
      <c r="B22" s="14" t="s">
        <v>42</v>
      </c>
      <c r="C22" s="15" t="s">
        <v>43</v>
      </c>
      <c r="D22" s="16">
        <f>SUM(D8:D21)</f>
      </c>
      <c r="E22" s="15" t="s">
        <v>42</v>
      </c>
      <c r="F22" s="16">
        <f>SUM(F8:F21)</f>
      </c>
      <c r="G22" s="16">
        <f>SUM(G8:G21)</f>
      </c>
      <c r="H22" s="16">
        <f>SUM(H8:H21)</f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
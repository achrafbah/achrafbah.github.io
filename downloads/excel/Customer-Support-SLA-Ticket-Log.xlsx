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&amp; Model" state="visible" r:id="rId4"/>
  </sheets>
  <calcPr calcId="171027"/>
</workbook>
</file>

<file path=xl/sharedStrings.xml><?xml version="1.0" encoding="utf-8"?>
<sst xmlns="http://schemas.openxmlformats.org/spreadsheetml/2006/main" count="89" uniqueCount="66">
  <si>
    <t>CUSTOMER SUPPORT HELPDESK SLA RESPONSE &amp; CSAT PERFORMANCE MATRIX</t>
  </si>
  <si>
    <t>BizTools Executive Financial &amp; Operations Engine • Automated Dynamic Formulas</t>
  </si>
  <si>
    <t>Total Tickets Analyzed</t>
  </si>
  <si>
    <t>SLA Compliance %</t>
  </si>
  <si>
    <t>Average CSAT Score</t>
  </si>
  <si>
    <t>Avg First Reply (Hrs)</t>
  </si>
  <si>
    <t>Ticket ID</t>
  </si>
  <si>
    <t>Customer Email</t>
  </si>
  <si>
    <t>Issue Category</t>
  </si>
  <si>
    <t>Priority Tier</t>
  </si>
  <si>
    <t>First Response (h)</t>
  </si>
  <si>
    <t>Resolution Time (h)</t>
  </si>
  <si>
    <t>SLA Status</t>
  </si>
  <si>
    <t>CSAT Rating (1-5)</t>
  </si>
  <si>
    <t>#TCK-901</t>
  </si>
  <si>
    <t>m.johnson@client.com</t>
  </si>
  <si>
    <t>Billing &amp; Invoice</t>
  </si>
  <si>
    <t>Urgent</t>
  </si>
  <si>
    <t>Met SLA</t>
  </si>
  <si>
    <t>#TCK-902</t>
  </si>
  <si>
    <t>s.miller@retail.org</t>
  </si>
  <si>
    <t>API Webhook Error</t>
  </si>
  <si>
    <t>#TCK-903</t>
  </si>
  <si>
    <t>d.chen@logistics.net</t>
  </si>
  <si>
    <t>Account Access</t>
  </si>
  <si>
    <t>Medium</t>
  </si>
  <si>
    <t>#TCK-904</t>
  </si>
  <si>
    <t>h.al-mansoor@corp.ae</t>
  </si>
  <si>
    <t>Data Export CSV</t>
  </si>
  <si>
    <t>Low</t>
  </si>
  <si>
    <t>#TCK-905</t>
  </si>
  <si>
    <t>e.rodriguez@studio.es</t>
  </si>
  <si>
    <t>Subscription Upgrade</t>
  </si>
  <si>
    <t>High</t>
  </si>
  <si>
    <t>#TCK-906</t>
  </si>
  <si>
    <t>t.becker@automotive.de</t>
  </si>
  <si>
    <t>Bug Report / UI</t>
  </si>
  <si>
    <t>#TCK-907</t>
  </si>
  <si>
    <t>k.takahashi@tech.jp</t>
  </si>
  <si>
    <t>SSO SAML Setup</t>
  </si>
  <si>
    <t>#TCK-908</t>
  </si>
  <si>
    <t>l.smith@consulting.uk</t>
  </si>
  <si>
    <t>Payment Failed</t>
  </si>
  <si>
    <t>#TCK-909</t>
  </si>
  <si>
    <t>a.novak@agency.cz</t>
  </si>
  <si>
    <t>Custom Domain DNS</t>
  </si>
  <si>
    <t>#TCK-910</t>
  </si>
  <si>
    <t>b.dubois@fashion.fr</t>
  </si>
  <si>
    <t>Order Tracking Lag</t>
  </si>
  <si>
    <t>Breached SLA</t>
  </si>
  <si>
    <t>#TCK-911</t>
  </si>
  <si>
    <t>g.rossi@design.it</t>
  </si>
  <si>
    <t>Template Download</t>
  </si>
  <si>
    <t>#TCK-912</t>
  </si>
  <si>
    <t>w.vandijk@shipping.nl</t>
  </si>
  <si>
    <t>Webhook Payload 500</t>
  </si>
  <si>
    <t>#TCK-913</t>
  </si>
  <si>
    <t>p.santos@fintech.br</t>
  </si>
  <si>
    <t>Invoice Currency CAD</t>
  </si>
  <si>
    <t>#TCK-914</t>
  </si>
  <si>
    <t>j.larsson@nordic.se</t>
  </si>
  <si>
    <t>Multi-Seat License</t>
  </si>
  <si>
    <t>HELPDESK TOTAL</t>
  </si>
  <si>
    <t/>
  </si>
  <si>
    <t>14 Tickets</t>
  </si>
  <si>
    <t>92.9% SLA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</si>
</sst>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0.0 / 5.0"/>
    <numFmt numFmtId="166" formatCode="0.0h"/>
    <numFmt numFmtId="167" formatCode="0.0"/>
  </numFmts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  <color rgb="FF94A3B8"/>
      <sz val="9"/>
    </font>
    <font>
      <b/>
      <color rgb="FF64748B"/>
      <sz val="9"/>
    </font>
    <font>
      <b/>
      <color rgb="FF0F172A"/>
      <sz val="12"/>
    </font>
    <font>
      <b/>
      <color rgb="FFFFFFFF"/>
      <sz val="10"/>
    </font>
    <font>
      <color rgb="FF334155"/>
      <sz val="9.5"/>
    </font>
    <font>
      <b/>
      <color rgb="FF0F172A"/>
      <sz val="10"/>
    </font>
  </fonts>
  <fills count="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1E3A8A"/>
      </patternFill>
    </fill>
    <fill>
      <patternFill patternType="solid">
        <fgColor rgb="FFFFFFFF"/>
      </patternFill>
    </fill>
    <fill>
      <patternFill patternType="solid">
        <fgColor rgb="FFE2E8F0"/>
      </patternFill>
    </fill>
  </fills>
  <borders count="4">
    <border>
      <left/>
      <right/>
      <top/>
      <bottom/>
      <diagonal/>
    </border>
    <border>
      <left/>
      <right/>
      <top style="thin">
        <color rgb="FFCBD5E1"/>
      </top>
      <bottom style="medium">
        <color rgb="FF0F172A"/>
      </bottom>
      <diagonal/>
    </border>
    <border>
      <left/>
      <right/>
      <top/>
      <bottom style="thin">
        <color rgb="FFE2E8F0"/>
      </bottom>
      <diagonal/>
    </border>
    <border>
      <left/>
      <right/>
      <top style="medium">
        <color rgb="FF0F172A"/>
      </top>
      <bottom style="double">
        <color rgb="FF0F172A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3" fontId="4" fillId="5" borderId="0" xfId="0" applyNumberFormat="1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5" fontId="4" fillId="5" borderId="0" xfId="0" applyNumberFormat="1" applyFont="1" applyFill="1" applyAlignment="1">
      <alignment horizontal="center" vertical="center"/>
    </xf>
    <xf numFmtId="166" fontId="4" fillId="5" borderId="0" xfId="0" applyNumberFormat="1" applyFont="1" applyFill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right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left" vertical="center"/>
    </xf>
    <xf numFmtId="167" fontId="6" fillId="7" borderId="2" xfId="0" applyNumberFormat="1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/>
    </xf>
    <xf numFmtId="167" fontId="6" fillId="4" borderId="2" xfId="0" applyNumberFormat="1" applyFont="1" applyFill="1" applyBorder="1" applyAlignment="1">
      <alignment horizontal="right" vertical="center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/>
    </xf>
    <xf numFmtId="167" fontId="7" fillId="8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15" outlineLevelRow="0" outlineLevelCol="0" x14ac:dyDescent="55"/>
  <cols>
    <col min="1" max="1" width="14" customWidth="1"/>
    <col min="2" max="2" width="22" customWidth="1"/>
    <col min="3" max="3" width="16" customWidth="1"/>
    <col min="4" max="4" width="14" customWidth="1"/>
    <col min="5" max="6" width="18" customWidth="1"/>
    <col min="7" max="7" width="15" customWidth="1"/>
    <col min="8" max="8" width="17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18" customHeight="1" spans="1:8" x14ac:dyDescent="0.25">
      <c r="A4" s="3" t="s">
        <v>2</v>
      </c>
      <c r="B4" s="3"/>
      <c r="C4" s="3" t="s">
        <v>3</v>
      </c>
      <c r="D4" s="3"/>
      <c r="E4" s="3" t="s">
        <v>4</v>
      </c>
      <c r="F4" s="3"/>
      <c r="G4" s="3" t="s">
        <v>5</v>
      </c>
      <c r="H4" s="3"/>
    </row>
    <row r="5" ht="24" customHeight="1" spans="1:8" x14ac:dyDescent="0.25">
      <c r="A5" s="4">
        <f>COUNTA(A8:A21)</f>
      </c>
      <c r="B5" s="4"/>
      <c r="C5" s="5">
        <f>COUNTIF(G8:G21,"Met SLA")/COUNTA(A8:A21)</f>
      </c>
      <c r="D5" s="5"/>
      <c r="E5" s="6">
        <f>AVERAGE(H8:H21)</f>
      </c>
      <c r="F5" s="6"/>
      <c r="G5" s="7">
        <f>AVERAGE(E8:E21)</f>
      </c>
      <c r="H5" s="7"/>
    </row>
    <row r="7" ht="26" customHeight="1" spans="1:8" x14ac:dyDescent="0.25">
      <c r="A7" s="8" t="s">
        <v>6</v>
      </c>
      <c r="B7" s="9" t="s">
        <v>7</v>
      </c>
      <c r="C7" s="9" t="s">
        <v>8</v>
      </c>
      <c r="D7" s="8" t="s">
        <v>9</v>
      </c>
      <c r="E7" s="10" t="s">
        <v>10</v>
      </c>
      <c r="F7" s="10" t="s">
        <v>11</v>
      </c>
      <c r="G7" s="8" t="s">
        <v>12</v>
      </c>
      <c r="H7" s="10" t="s">
        <v>13</v>
      </c>
    </row>
    <row r="8" ht="20" customHeight="1" spans="1:8" x14ac:dyDescent="0.25">
      <c r="A8" s="11" t="s">
        <v>14</v>
      </c>
      <c r="B8" s="12" t="s">
        <v>15</v>
      </c>
      <c r="C8" s="12" t="s">
        <v>16</v>
      </c>
      <c r="D8" s="11" t="s">
        <v>17</v>
      </c>
      <c r="E8" s="13">
        <v>0.4</v>
      </c>
      <c r="F8" s="13">
        <v>2.5</v>
      </c>
      <c r="G8" s="11" t="s">
        <v>18</v>
      </c>
      <c r="H8" s="13">
        <v>5</v>
      </c>
    </row>
    <row r="9" ht="20" customHeight="1" spans="1:8" x14ac:dyDescent="0.25">
      <c r="A9" s="14" t="s">
        <v>19</v>
      </c>
      <c r="B9" s="15" t="s">
        <v>20</v>
      </c>
      <c r="C9" s="15" t="s">
        <v>21</v>
      </c>
      <c r="D9" s="14" t="s">
        <v>17</v>
      </c>
      <c r="E9" s="16">
        <v>0.6</v>
      </c>
      <c r="F9" s="16">
        <v>3.8</v>
      </c>
      <c r="G9" s="14" t="s">
        <v>18</v>
      </c>
      <c r="H9" s="16">
        <v>4.8</v>
      </c>
    </row>
    <row r="10" ht="20" customHeight="1" spans="1:8" x14ac:dyDescent="0.25">
      <c r="A10" s="11" t="s">
        <v>22</v>
      </c>
      <c r="B10" s="12" t="s">
        <v>23</v>
      </c>
      <c r="C10" s="12" t="s">
        <v>24</v>
      </c>
      <c r="D10" s="11" t="s">
        <v>25</v>
      </c>
      <c r="E10" s="13">
        <v>1.2</v>
      </c>
      <c r="F10" s="13">
        <v>4.5</v>
      </c>
      <c r="G10" s="11" t="s">
        <v>18</v>
      </c>
      <c r="H10" s="13">
        <v>5</v>
      </c>
    </row>
    <row r="11" ht="20" customHeight="1" spans="1:8" x14ac:dyDescent="0.25">
      <c r="A11" s="14" t="s">
        <v>26</v>
      </c>
      <c r="B11" s="15" t="s">
        <v>27</v>
      </c>
      <c r="C11" s="15" t="s">
        <v>28</v>
      </c>
      <c r="D11" s="14" t="s">
        <v>29</v>
      </c>
      <c r="E11" s="16">
        <v>3.5</v>
      </c>
      <c r="F11" s="16">
        <v>12</v>
      </c>
      <c r="G11" s="14" t="s">
        <v>18</v>
      </c>
      <c r="H11" s="16">
        <v>4.5</v>
      </c>
    </row>
    <row r="12" ht="20" customHeight="1" spans="1:8" x14ac:dyDescent="0.25">
      <c r="A12" s="11" t="s">
        <v>30</v>
      </c>
      <c r="B12" s="12" t="s">
        <v>31</v>
      </c>
      <c r="C12" s="12" t="s">
        <v>32</v>
      </c>
      <c r="D12" s="11" t="s">
        <v>33</v>
      </c>
      <c r="E12" s="13">
        <v>0.8</v>
      </c>
      <c r="F12" s="13">
        <v>1.8</v>
      </c>
      <c r="G12" s="11" t="s">
        <v>18</v>
      </c>
      <c r="H12" s="13">
        <v>5</v>
      </c>
    </row>
    <row r="13" ht="20" customHeight="1" spans="1:8" x14ac:dyDescent="0.25">
      <c r="A13" s="14" t="s">
        <v>34</v>
      </c>
      <c r="B13" s="15" t="s">
        <v>35</v>
      </c>
      <c r="C13" s="15" t="s">
        <v>36</v>
      </c>
      <c r="D13" s="14" t="s">
        <v>25</v>
      </c>
      <c r="E13" s="16">
        <v>2.1</v>
      </c>
      <c r="F13" s="16">
        <v>14.5</v>
      </c>
      <c r="G13" s="14" t="s">
        <v>18</v>
      </c>
      <c r="H13" s="16">
        <v>4</v>
      </c>
    </row>
    <row r="14" ht="20" customHeight="1" spans="1:8" x14ac:dyDescent="0.25">
      <c r="A14" s="11" t="s">
        <v>37</v>
      </c>
      <c r="B14" s="12" t="s">
        <v>38</v>
      </c>
      <c r="C14" s="12" t="s">
        <v>39</v>
      </c>
      <c r="D14" s="11" t="s">
        <v>33</v>
      </c>
      <c r="E14" s="13">
        <v>1.1</v>
      </c>
      <c r="F14" s="13">
        <v>5.2</v>
      </c>
      <c r="G14" s="11" t="s">
        <v>18</v>
      </c>
      <c r="H14" s="13">
        <v>5</v>
      </c>
    </row>
    <row r="15" ht="20" customHeight="1" spans="1:8" x14ac:dyDescent="0.25">
      <c r="A15" s="14" t="s">
        <v>40</v>
      </c>
      <c r="B15" s="15" t="s">
        <v>41</v>
      </c>
      <c r="C15" s="15" t="s">
        <v>42</v>
      </c>
      <c r="D15" s="14" t="s">
        <v>17</v>
      </c>
      <c r="E15" s="16">
        <v>0.3</v>
      </c>
      <c r="F15" s="16">
        <v>1.2</v>
      </c>
      <c r="G15" s="14" t="s">
        <v>18</v>
      </c>
      <c r="H15" s="16">
        <v>5</v>
      </c>
    </row>
    <row r="16" ht="20" customHeight="1" spans="1:8" x14ac:dyDescent="0.25">
      <c r="A16" s="11" t="s">
        <v>43</v>
      </c>
      <c r="B16" s="12" t="s">
        <v>44</v>
      </c>
      <c r="C16" s="12" t="s">
        <v>45</v>
      </c>
      <c r="D16" s="11" t="s">
        <v>25</v>
      </c>
      <c r="E16" s="13">
        <v>2.8</v>
      </c>
      <c r="F16" s="13">
        <v>16</v>
      </c>
      <c r="G16" s="11" t="s">
        <v>18</v>
      </c>
      <c r="H16" s="13">
        <v>4.2</v>
      </c>
    </row>
    <row r="17" ht="20" customHeight="1" spans="1:8" x14ac:dyDescent="0.25">
      <c r="A17" s="14" t="s">
        <v>46</v>
      </c>
      <c r="B17" s="15" t="s">
        <v>47</v>
      </c>
      <c r="C17" s="15" t="s">
        <v>48</v>
      </c>
      <c r="D17" s="14" t="s">
        <v>29</v>
      </c>
      <c r="E17" s="16">
        <v>4.2</v>
      </c>
      <c r="F17" s="16">
        <v>18</v>
      </c>
      <c r="G17" s="14" t="s">
        <v>49</v>
      </c>
      <c r="H17" s="16">
        <v>3.5</v>
      </c>
    </row>
    <row r="18" ht="20" customHeight="1" spans="1:8" x14ac:dyDescent="0.25">
      <c r="A18" s="11" t="s">
        <v>50</v>
      </c>
      <c r="B18" s="12" t="s">
        <v>51</v>
      </c>
      <c r="C18" s="12" t="s">
        <v>52</v>
      </c>
      <c r="D18" s="11" t="s">
        <v>29</v>
      </c>
      <c r="E18" s="13">
        <v>1.5</v>
      </c>
      <c r="F18" s="13">
        <v>4</v>
      </c>
      <c r="G18" s="11" t="s">
        <v>18</v>
      </c>
      <c r="H18" s="13">
        <v>4.9</v>
      </c>
    </row>
    <row r="19" ht="20" customHeight="1" spans="1:8" x14ac:dyDescent="0.25">
      <c r="A19" s="14" t="s">
        <v>53</v>
      </c>
      <c r="B19" s="15" t="s">
        <v>54</v>
      </c>
      <c r="C19" s="15" t="s">
        <v>55</v>
      </c>
      <c r="D19" s="14" t="s">
        <v>17</v>
      </c>
      <c r="E19" s="16">
        <v>0.5</v>
      </c>
      <c r="F19" s="16">
        <v>2.8</v>
      </c>
      <c r="G19" s="14" t="s">
        <v>18</v>
      </c>
      <c r="H19" s="16">
        <v>5</v>
      </c>
    </row>
    <row r="20" ht="20" customHeight="1" spans="1:8" x14ac:dyDescent="0.25">
      <c r="A20" s="11" t="s">
        <v>56</v>
      </c>
      <c r="B20" s="12" t="s">
        <v>57</v>
      </c>
      <c r="C20" s="12" t="s">
        <v>58</v>
      </c>
      <c r="D20" s="11" t="s">
        <v>25</v>
      </c>
      <c r="E20" s="13">
        <v>1.4</v>
      </c>
      <c r="F20" s="13">
        <v>6.2</v>
      </c>
      <c r="G20" s="11" t="s">
        <v>18</v>
      </c>
      <c r="H20" s="13">
        <v>4.7</v>
      </c>
    </row>
    <row r="21" ht="20" customHeight="1" spans="1:8" x14ac:dyDescent="0.25">
      <c r="A21" s="14" t="s">
        <v>59</v>
      </c>
      <c r="B21" s="15" t="s">
        <v>60</v>
      </c>
      <c r="C21" s="15" t="s">
        <v>61</v>
      </c>
      <c r="D21" s="14" t="s">
        <v>33</v>
      </c>
      <c r="E21" s="16">
        <v>0.9</v>
      </c>
      <c r="F21" s="16">
        <v>3.4</v>
      </c>
      <c r="G21" s="14" t="s">
        <v>18</v>
      </c>
      <c r="H21" s="16">
        <v>5</v>
      </c>
    </row>
    <row r="22" ht="24" customHeight="1" spans="1:8" x14ac:dyDescent="0.25">
      <c r="A22" s="17" t="s">
        <v>62</v>
      </c>
      <c r="B22" s="18" t="s">
        <v>63</v>
      </c>
      <c r="C22" s="18" t="s">
        <v>64</v>
      </c>
      <c r="D22" s="17" t="s">
        <v>63</v>
      </c>
      <c r="E22" s="19">
        <f>AVERAGE(E8:E21)</f>
      </c>
      <c r="F22" s="19">
        <f>AVERAGE(F8:F21)</f>
      </c>
      <c r="G22" s="17" t="s">
        <v>65</v>
      </c>
      <c r="H22" s="19">
        <f>AVERAGE(H8:H21)</f>
      </c>
    </row>
  </sheetData>
  <mergeCells count="10">
    <mergeCell ref="A1:H1"/>
    <mergeCell ref="A2:H2"/>
    <mergeCell ref="A4:B4"/>
    <mergeCell ref="C4:D4"/>
    <mergeCell ref="E4:F4"/>
    <mergeCell ref="G4:H4"/>
    <mergeCell ref="A5:B5"/>
    <mergeCell ref="C5:D5"/>
    <mergeCell ref="E5:F5"/>
    <mergeCell ref="G5:H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&amp; Model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SmartCents &amp; BizTools Executive Suite</dc:creator>
  <dc:title/>
  <dc:subject/>
  <dc:description/>
  <cp:keywords/>
  <cp:category/>
  <cp:lastModifiedBy>Unknown</cp:lastModifiedBy>
  <dcterms:created xsi:type="dcterms:W3CDTF">2026-10-16T14:50:27Z</dcterms:created>
  <dcterms:modified xsi:type="dcterms:W3CDTF">2026-10-16T14:50:27Z</dcterms:modified>
</cp:coreProperties>
</file>
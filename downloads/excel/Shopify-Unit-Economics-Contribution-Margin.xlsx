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ibution Margin" state="visible" r:id="rId4"/>
  </sheets>
  <calcPr calcId="171027"/>
</workbook>
</file>

<file path=xl/sharedStrings.xml><?xml version="1.0" encoding="utf-8"?>
<sst xmlns="http://schemas.openxmlformats.org/spreadsheetml/2006/main" count="13" uniqueCount="13">
  <si>
    <t>Shopify E-Commerce Contribution Margin Model</t>
  </si>
  <si>
    <t>Product Name</t>
  </si>
  <si>
    <t>Retail Price</t>
  </si>
  <si>
    <t>COGS</t>
  </si>
  <si>
    <t>Payment Fee (3%)</t>
  </si>
  <si>
    <t>Shipping &amp; Pick/Pack</t>
  </si>
  <si>
    <t>Ad Spend (CPA)</t>
  </si>
  <si>
    <t>Gross Margin $</t>
  </si>
  <si>
    <t>Contribution Margin %</t>
  </si>
  <si>
    <t>Wireless ANC Headphones</t>
  </si>
  <si>
    <t>Ergonomic Desk Mat</t>
  </si>
  <si>
    <t>Mechanical Keyboard Pro</t>
  </si>
  <si>
    <t>USB-C 100W GaN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</si>
</sst>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sz val="10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5">
      <c r="A5" s="3" t="s">
        <v>9</v>
      </c>
      <c r="B5" s="3">
        <v>129.99</v>
      </c>
      <c r="C5" s="3">
        <v>32.5</v>
      </c>
      <c r="D5" s="3">
        <f>B4*0.03</f>
      </c>
      <c r="E5" s="3">
        <v>9.5</v>
      </c>
      <c r="F5" s="3">
        <v>42</v>
      </c>
      <c r="G5" s="3">
        <f>B4-C4-D4-E4-F4</f>
      </c>
      <c r="H5" s="3">
        <f>G4/B4</f>
      </c>
    </row>
    <row r="6" spans="1:8" x14ac:dyDescent="0.25">
      <c r="A6" s="3" t="s">
        <v>10</v>
      </c>
      <c r="B6" s="3">
        <v>49.99</v>
      </c>
      <c r="C6" s="3">
        <v>8.2</v>
      </c>
      <c r="D6" s="3">
        <f>B5*0.03</f>
      </c>
      <c r="E6" s="3">
        <v>6.2</v>
      </c>
      <c r="F6" s="3">
        <v>18</v>
      </c>
      <c r="G6" s="3">
        <f>B5-C5-D5-E5-F5</f>
      </c>
      <c r="H6" s="3">
        <f>G5/B5</f>
      </c>
    </row>
    <row r="7" spans="1:8" x14ac:dyDescent="0.25">
      <c r="A7" s="3" t="s">
        <v>11</v>
      </c>
      <c r="B7" s="3">
        <v>189</v>
      </c>
      <c r="C7" s="3">
        <v>48</v>
      </c>
      <c r="D7" s="3">
        <f>B6*0.03</f>
      </c>
      <c r="E7" s="3">
        <v>12</v>
      </c>
      <c r="F7" s="3">
        <v>55</v>
      </c>
      <c r="G7" s="3">
        <f>B6-C6-D6-E6-F6</f>
      </c>
      <c r="H7" s="3">
        <f>G6/B6</f>
      </c>
    </row>
    <row r="8" spans="1:8" x14ac:dyDescent="0.25">
      <c r="A8" s="3" t="s">
        <v>12</v>
      </c>
      <c r="B8" s="3">
        <v>39.99</v>
      </c>
      <c r="C8" s="3">
        <v>7.5</v>
      </c>
      <c r="D8" s="3">
        <f>B7*0.03</f>
      </c>
      <c r="E8" s="3">
        <v>4.5</v>
      </c>
      <c r="F8" s="3">
        <v>14</v>
      </c>
      <c r="G8" s="3">
        <f>B7-C7-D7-E7-F7</f>
      </c>
      <c r="H8" s="3">
        <f>G7/B7</f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 Margin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2026-10-16T16:03:57Z</dcterms:created>
  <dcterms:modified xsi:type="dcterms:W3CDTF">2026-10-16T16:03:57Z</dcterms:modified>
</cp:coreProperties>
</file>
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<sst xmlns="http://schemas.openxmlformats.org/spreadsheetml/2006/main" count="60" uniqueCount="47">
  <si>
    <t>DIVIDEND ARISTOCRATS SNOWBALL &amp; DRIP COMPOUNDING MODEL</t>
  </si>
  <si>
    <t>BizTools Executive Financial &amp; Operations Engine • Automated Dynamic Formulas</t>
  </si>
  <si>
    <t>Total Portfolio Capital</t>
  </si>
  <si>
    <t>Annual Passive Dividend</t>
  </si>
  <si>
    <t>Monthly Cash Flow</t>
  </si>
  <si>
    <t>Blended Dividend Yield</t>
  </si>
  <si>
    <t>Company Name</t>
  </si>
  <si>
    <t>Ticker</t>
  </si>
  <si>
    <t>Shares Held</t>
  </si>
  <si>
    <t>Market Value</t>
  </si>
  <si>
    <t>Div Per Share</t>
  </si>
  <si>
    <t>Div Yield %</t>
  </si>
  <si>
    <t>Annual Dividend</t>
  </si>
  <si>
    <t>Payout Frequency</t>
  </si>
  <si>
    <t>Realty Income</t>
  </si>
  <si>
    <t>O</t>
  </si>
  <si>
    <t>Monthly</t>
  </si>
  <si>
    <t>Johnson &amp; Johnson</t>
  </si>
  <si>
    <t>JNJ</t>
  </si>
  <si>
    <t>Quarterly</t>
  </si>
  <si>
    <t>Procter &amp; Gamble</t>
  </si>
  <si>
    <t>PG</t>
  </si>
  <si>
    <t>Coca-Cola Co.</t>
  </si>
  <si>
    <t>KO</t>
  </si>
  <si>
    <t>AbbVie Inc.</t>
  </si>
  <si>
    <t>ABBV</t>
  </si>
  <si>
    <t>Exxon Mobil</t>
  </si>
  <si>
    <t>XOM</t>
  </si>
  <si>
    <t>Chevron Corp.</t>
  </si>
  <si>
    <t>CVX</t>
  </si>
  <si>
    <t>PepsiCo Inc.</t>
  </si>
  <si>
    <t>PEP</t>
  </si>
  <si>
    <t>Lockheed Martin</t>
  </si>
  <si>
    <t>LMT</t>
  </si>
  <si>
    <t>McDonalds Corp.</t>
  </si>
  <si>
    <t>MCD</t>
  </si>
  <si>
    <t>Target Corp.</t>
  </si>
  <si>
    <t>TGT</t>
  </si>
  <si>
    <t>General Dynamics</t>
  </si>
  <si>
    <t>GD</t>
  </si>
  <si>
    <t>Main Street Capital</t>
  </si>
  <si>
    <t>MAIN</t>
  </si>
  <si>
    <t>Ares Capital Corp.</t>
  </si>
  <si>
    <t>ARCC</t>
  </si>
  <si>
    <t>TOTAL PORTFOLIO</t>
  </si>
  <si>
    <t/>
  </si>
  <si>
    <t>Reinvest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</si>
</sst>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0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0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  <xf numFmtId="10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8" customWidth="1"/>
    <col min="2" max="2" width="10" customWidth="1"/>
    <col min="3" max="3" width="13" customWidth="1"/>
    <col min="4" max="4" width="16" customWidth="1"/>
    <col min="5" max="5" width="14" customWidth="1"/>
    <col min="6" max="6" width="13" customWidth="1"/>
    <col min="7" max="7" width="17" customWidth="1"/>
    <col min="8" max="8" width="1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SUM(D8:D21)</f>
      </c>
      <c r="B5" s="4"/>
      <c r="C5" s="4">
        <f>SUM(G8:G21)</f>
      </c>
      <c r="D5" s="4"/>
      <c r="E5" s="4">
        <f>C5/12</f>
      </c>
      <c r="F5" s="4"/>
      <c r="G5" s="5">
        <f>IF(A5&gt;0,C5/A5,0)</f>
      </c>
      <c r="H5" s="5"/>
    </row>
    <row r="7" ht="26" customHeight="1" spans="1:8" x14ac:dyDescent="0.25">
      <c r="A7" s="6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7" t="s">
        <v>13</v>
      </c>
    </row>
    <row r="8" ht="20" customHeight="1" spans="1:8" x14ac:dyDescent="0.25">
      <c r="A8" s="9" t="s">
        <v>14</v>
      </c>
      <c r="B8" s="10" t="s">
        <v>15</v>
      </c>
      <c r="C8" s="11">
        <v>850</v>
      </c>
      <c r="D8" s="12">
        <v>48450</v>
      </c>
      <c r="E8" s="12">
        <v>3.12</v>
      </c>
      <c r="F8" s="13">
        <v>0.0547</v>
      </c>
      <c r="G8" s="12">
        <f>C8*E8</f>
      </c>
      <c r="H8" s="10" t="s">
        <v>16</v>
      </c>
    </row>
    <row r="9" ht="20" customHeight="1" spans="1:8" x14ac:dyDescent="0.25">
      <c r="A9" s="14" t="s">
        <v>17</v>
      </c>
      <c r="B9" s="15" t="s">
        <v>18</v>
      </c>
      <c r="C9" s="16">
        <v>320</v>
      </c>
      <c r="D9" s="17">
        <v>51200</v>
      </c>
      <c r="E9" s="17">
        <v>4.96</v>
      </c>
      <c r="F9" s="18">
        <v>0.031</v>
      </c>
      <c r="G9" s="17">
        <f>C9*E9</f>
      </c>
      <c r="H9" s="15" t="s">
        <v>19</v>
      </c>
    </row>
    <row r="10" ht="20" customHeight="1" spans="1:8" x14ac:dyDescent="0.25">
      <c r="A10" s="9" t="s">
        <v>20</v>
      </c>
      <c r="B10" s="10" t="s">
        <v>21</v>
      </c>
      <c r="C10" s="11">
        <v>310</v>
      </c>
      <c r="D10" s="12">
        <v>49600</v>
      </c>
      <c r="E10" s="12">
        <v>3.96</v>
      </c>
      <c r="F10" s="13">
        <v>0.0248</v>
      </c>
      <c r="G10" s="12">
        <f>C10*E10</f>
      </c>
      <c r="H10" s="10" t="s">
        <v>19</v>
      </c>
    </row>
    <row r="11" ht="20" customHeight="1" spans="1:8" x14ac:dyDescent="0.25">
      <c r="A11" s="14" t="s">
        <v>22</v>
      </c>
      <c r="B11" s="15" t="s">
        <v>23</v>
      </c>
      <c r="C11" s="16">
        <v>800</v>
      </c>
      <c r="D11" s="17">
        <v>48000</v>
      </c>
      <c r="E11" s="17">
        <v>1.94</v>
      </c>
      <c r="F11" s="18">
        <v>0.0323</v>
      </c>
      <c r="G11" s="17">
        <f>C11*E11</f>
      </c>
      <c r="H11" s="15" t="s">
        <v>19</v>
      </c>
    </row>
    <row r="12" ht="20" customHeight="1" spans="1:8" x14ac:dyDescent="0.25">
      <c r="A12" s="9" t="s">
        <v>24</v>
      </c>
      <c r="B12" s="10" t="s">
        <v>25</v>
      </c>
      <c r="C12" s="11">
        <v>280</v>
      </c>
      <c r="D12" s="12">
        <v>46200</v>
      </c>
      <c r="E12" s="12">
        <v>6.2</v>
      </c>
      <c r="F12" s="13">
        <v>0.0376</v>
      </c>
      <c r="G12" s="12">
        <f>C12*E12</f>
      </c>
      <c r="H12" s="10" t="s">
        <v>19</v>
      </c>
    </row>
    <row r="13" ht="20" customHeight="1" spans="1:8" x14ac:dyDescent="0.25">
      <c r="A13" s="14" t="s">
        <v>26</v>
      </c>
      <c r="B13" s="15" t="s">
        <v>27</v>
      </c>
      <c r="C13" s="16">
        <v>420</v>
      </c>
      <c r="D13" s="17">
        <v>48300</v>
      </c>
      <c r="E13" s="17">
        <v>3.8</v>
      </c>
      <c r="F13" s="18">
        <v>0.033</v>
      </c>
      <c r="G13" s="17">
        <f>C13*E13</f>
      </c>
      <c r="H13" s="15" t="s">
        <v>19</v>
      </c>
    </row>
    <row r="14" ht="20" customHeight="1" spans="1:8" x14ac:dyDescent="0.25">
      <c r="A14" s="9" t="s">
        <v>28</v>
      </c>
      <c r="B14" s="10" t="s">
        <v>29</v>
      </c>
      <c r="C14" s="11">
        <v>300</v>
      </c>
      <c r="D14" s="12">
        <v>45000</v>
      </c>
      <c r="E14" s="12">
        <v>6.52</v>
      </c>
      <c r="F14" s="13">
        <v>0.0435</v>
      </c>
      <c r="G14" s="12">
        <f>C14*E14</f>
      </c>
      <c r="H14" s="10" t="s">
        <v>19</v>
      </c>
    </row>
    <row r="15" ht="20" customHeight="1" spans="1:8" x14ac:dyDescent="0.25">
      <c r="A15" s="14" t="s">
        <v>30</v>
      </c>
      <c r="B15" s="15" t="s">
        <v>31</v>
      </c>
      <c r="C15" s="16">
        <v>290</v>
      </c>
      <c r="D15" s="17">
        <v>49300</v>
      </c>
      <c r="E15" s="17">
        <v>5.06</v>
      </c>
      <c r="F15" s="18">
        <v>0.0298</v>
      </c>
      <c r="G15" s="17">
        <f>C15*E15</f>
      </c>
      <c r="H15" s="15" t="s">
        <v>19</v>
      </c>
    </row>
    <row r="16" ht="20" customHeight="1" spans="1:8" x14ac:dyDescent="0.25">
      <c r="A16" s="9" t="s">
        <v>32</v>
      </c>
      <c r="B16" s="10" t="s">
        <v>33</v>
      </c>
      <c r="C16" s="11">
        <v>110</v>
      </c>
      <c r="D16" s="12">
        <v>49500</v>
      </c>
      <c r="E16" s="12">
        <v>12.6</v>
      </c>
      <c r="F16" s="13">
        <v>0.028</v>
      </c>
      <c r="G16" s="12">
        <f>C16*E16</f>
      </c>
      <c r="H16" s="10" t="s">
        <v>19</v>
      </c>
    </row>
    <row r="17" ht="20" customHeight="1" spans="1:8" x14ac:dyDescent="0.25">
      <c r="A17" s="14" t="s">
        <v>34</v>
      </c>
      <c r="B17" s="15" t="s">
        <v>35</v>
      </c>
      <c r="C17" s="16">
        <v>180</v>
      </c>
      <c r="D17" s="17">
        <v>50400</v>
      </c>
      <c r="E17" s="17">
        <v>6.68</v>
      </c>
      <c r="F17" s="18">
        <v>0.0239</v>
      </c>
      <c r="G17" s="17">
        <f>C17*E17</f>
      </c>
      <c r="H17" s="15" t="s">
        <v>19</v>
      </c>
    </row>
    <row r="18" ht="20" customHeight="1" spans="1:8" x14ac:dyDescent="0.25">
      <c r="A18" s="9" t="s">
        <v>36</v>
      </c>
      <c r="B18" s="10" t="s">
        <v>37</v>
      </c>
      <c r="C18" s="11">
        <v>350</v>
      </c>
      <c r="D18" s="12">
        <v>49000</v>
      </c>
      <c r="E18" s="12">
        <v>4.48</v>
      </c>
      <c r="F18" s="13">
        <v>0.032</v>
      </c>
      <c r="G18" s="12">
        <f>C18*E18</f>
      </c>
      <c r="H18" s="10" t="s">
        <v>19</v>
      </c>
    </row>
    <row r="19" ht="20" customHeight="1" spans="1:8" x14ac:dyDescent="0.25">
      <c r="A19" s="14" t="s">
        <v>38</v>
      </c>
      <c r="B19" s="15" t="s">
        <v>39</v>
      </c>
      <c r="C19" s="16">
        <v>190</v>
      </c>
      <c r="D19" s="17">
        <v>51300</v>
      </c>
      <c r="E19" s="17">
        <v>5.68</v>
      </c>
      <c r="F19" s="18">
        <v>0.021</v>
      </c>
      <c r="G19" s="17">
        <f>C19*E19</f>
      </c>
      <c r="H19" s="15" t="s">
        <v>19</v>
      </c>
    </row>
    <row r="20" ht="20" customHeight="1" spans="1:8" x14ac:dyDescent="0.25">
      <c r="A20" s="9" t="s">
        <v>40</v>
      </c>
      <c r="B20" s="10" t="s">
        <v>41</v>
      </c>
      <c r="C20" s="11">
        <v>1100</v>
      </c>
      <c r="D20" s="12">
        <v>49500</v>
      </c>
      <c r="E20" s="12">
        <v>3.18</v>
      </c>
      <c r="F20" s="13">
        <v>0.0707</v>
      </c>
      <c r="G20" s="12">
        <f>C20*E20</f>
      </c>
      <c r="H20" s="10" t="s">
        <v>16</v>
      </c>
    </row>
    <row r="21" ht="20" customHeight="1" spans="1:8" x14ac:dyDescent="0.25">
      <c r="A21" s="14" t="s">
        <v>42</v>
      </c>
      <c r="B21" s="15" t="s">
        <v>43</v>
      </c>
      <c r="C21" s="16">
        <v>2300</v>
      </c>
      <c r="D21" s="17">
        <v>47150</v>
      </c>
      <c r="E21" s="17">
        <v>1.92</v>
      </c>
      <c r="F21" s="18">
        <v>0.0937</v>
      </c>
      <c r="G21" s="17">
        <f>C21*E21</f>
      </c>
      <c r="H21" s="15" t="s">
        <v>19</v>
      </c>
    </row>
    <row r="22" ht="24" customHeight="1" spans="1:8" x14ac:dyDescent="0.25">
      <c r="A22" s="19" t="s">
        <v>44</v>
      </c>
      <c r="B22" s="20" t="s">
        <v>45</v>
      </c>
      <c r="C22" s="21">
        <f>SUM(C8:C21)</f>
      </c>
      <c r="D22" s="22">
        <f>SUM(D8:D21)</f>
      </c>
      <c r="E22" s="22" t="s">
        <v>45</v>
      </c>
      <c r="F22" s="23">
        <f>AVERAGE(F8:F21)</f>
      </c>
      <c r="G22" s="22">
        <f>SUM(G8:G21)</f>
      </c>
      <c r="H22" s="20" t="s">
        <v>46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
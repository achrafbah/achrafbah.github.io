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 &amp; Recipe Engineering" state="visible" r:id="rId4"/>
  </sheets>
  <calcPr calcId="171027"/>
</workbook>
</file>

<file path=xl/sharedStrings.xml><?xml version="1.0" encoding="utf-8"?>
<sst xmlns="http://schemas.openxmlformats.org/spreadsheetml/2006/main" count="63" uniqueCount="57">
  <si>
    <t>RESTAURANT &amp; CAFE RECIPE COSTING, PORTION YIELD &amp; MENU ENGINEERING MATRIX</t>
  </si>
  <si>
    <t>Ingredient Portion Cost, Prep Waste Allowance, Target Food Cost % &amp; Menu Contribution Margin</t>
  </si>
  <si>
    <t>AVG MENU SELLING PRICE</t>
  </si>
  <si>
    <t>AVG TOTAL PLATE COST</t>
  </si>
  <si>
    <t>ACTUAL FOOD COST %</t>
  </si>
  <si>
    <t>TOTAL MONTHLY GROSS PROFIT</t>
  </si>
  <si>
    <t>HIGH-MARGIN STAR DISHES</t>
  </si>
  <si>
    <t>Recipe Code</t>
  </si>
  <si>
    <t>Menu Category</t>
  </si>
  <si>
    <t>Dish / Beverage Name</t>
  </si>
  <si>
    <t>Raw Ingredient Cost ($)</t>
  </si>
  <si>
    <t>Prep Waste &amp; Trim (6%)</t>
  </si>
  <si>
    <t>Packaging / Garnish ($)</t>
  </si>
  <si>
    <t>Total Portion Cost ($)</t>
  </si>
  <si>
    <t>Suggested Price (28% FC)</t>
  </si>
  <si>
    <t>Actual Menu Price ($)</t>
  </si>
  <si>
    <t>Food Cost %</t>
  </si>
  <si>
    <t>Unit Contribution ($)</t>
  </si>
  <si>
    <t>Monthly Profit (Est. Vol)</t>
  </si>
  <si>
    <t>Menu Matrix Class</t>
  </si>
  <si>
    <t>RCP-01</t>
  </si>
  <si>
    <t>Artisan Mains</t>
  </si>
  <si>
    <t>Truffle Wagyu Smash Burger &amp; Brioche</t>
  </si>
  <si>
    <t>RCP-02</t>
  </si>
  <si>
    <t>Pan-Seared Atlantic Salmon &amp; Quinoa</t>
  </si>
  <si>
    <t>RCP-03</t>
  </si>
  <si>
    <t>Wild Mushroom &amp; Burrata Fresh Tagliatelle</t>
  </si>
  <si>
    <t>RCP-04</t>
  </si>
  <si>
    <t>Wood-Fired Pizza</t>
  </si>
  <si>
    <t>Diavola Hot Honey &amp; Calabrian Salami</t>
  </si>
  <si>
    <t>RCP-05</t>
  </si>
  <si>
    <t>San Marzano Margherita &amp; Fresh Basil</t>
  </si>
  <si>
    <t>RCP-06</t>
  </si>
  <si>
    <t>All-Day Brunch</t>
  </si>
  <si>
    <t>Smoked Salmon &amp; Avocado Poached Sourdough</t>
  </si>
  <si>
    <t>RCP-07</t>
  </si>
  <si>
    <t>Brioche French Toast &amp; Pistachio Mascarpone</t>
  </si>
  <si>
    <t>RCP-08</t>
  </si>
  <si>
    <t>Bowls &amp; Salads</t>
  </si>
  <si>
    <t>Crispy Harvest Kale, Halloumi &amp; Tahini Bowl</t>
  </si>
  <si>
    <t>RCP-09</t>
  </si>
  <si>
    <t>Shareable Starters</t>
  </si>
  <si>
    <t>Crispy Calamari with Yuzu Aioli</t>
  </si>
  <si>
    <t>RCP-10</t>
  </si>
  <si>
    <t>Whipped Feta, Roasted Grapes &amp; Flatbread</t>
  </si>
  <si>
    <t>RCP-11</t>
  </si>
  <si>
    <t>Specialty Coffee</t>
  </si>
  <si>
    <t>Iced Ceremonial Matcha Oat Latte (16oz)</t>
  </si>
  <si>
    <t>RCP-12</t>
  </si>
  <si>
    <t>Single-Origin Spanish Cortado &amp; Foam</t>
  </si>
  <si>
    <t>RCP-13</t>
  </si>
  <si>
    <t>Signature Cocktails</t>
  </si>
  <si>
    <t>Smoked Rosemary Mezcal Paloma</t>
  </si>
  <si>
    <t>RCP-14</t>
  </si>
  <si>
    <t>Pastry &amp; Dessert</t>
  </si>
  <si>
    <t>Basque Burnt Cheesecake with Berry Compote</t>
  </si>
  <si>
    <t>MENU AVERAGES /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</si>
</sst>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"/>
    <numFmt numFmtId="165" formatCode="0.0%"/>
    <numFmt numFmtId="166" formatCode="$#,##0"/>
  </numFmts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E2E8F0"/>
      <sz val="10"/>
      <name val="Segoe UI"/>
    </font>
    <font>
      <b/>
      <color rgb="FF475569"/>
      <sz val="8"/>
      <name val="Segoe UI"/>
    </font>
    <font>
      <b/>
      <color rgb="FF0F172A"/>
      <sz val="13"/>
      <name val="Segoe UI"/>
    </font>
    <font>
      <b/>
      <color rgb="FFD97706"/>
      <sz val="13"/>
      <name val="Segoe UI"/>
    </font>
    <font>
      <b/>
      <color rgb="FF059669"/>
      <sz val="13"/>
      <name val="Segoe UI"/>
    </font>
    <font>
      <b/>
      <color rgb="FF2563EB"/>
      <sz val="13"/>
      <name val="Segoe UI"/>
    </font>
    <font>
      <b/>
      <color rgb="FFFFFFFF"/>
      <sz val="10"/>
      <name val="Segoe UI"/>
    </font>
    <font>
      <color rgb="FF0F172A"/>
      <sz val="10"/>
      <name val="Segoe UI"/>
    </font>
    <font>
      <b/>
      <color rgb="FFD97706"/>
      <sz val="9"/>
      <name val="Segoe UI"/>
    </font>
    <font>
      <b/>
      <color rgb="FF0F172A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164" fontId="9" fillId="5" borderId="3" xfId="0" applyNumberFormat="1" applyFont="1" applyFill="1" applyBorder="1" applyAlignment="1">
      <alignment horizontal="right" vertical="center"/>
    </xf>
    <xf numFmtId="165" fontId="9" fillId="5" borderId="3" xfId="0" applyNumberFormat="1" applyFont="1" applyFill="1" applyBorder="1" applyAlignment="1">
      <alignment horizontal="right" vertical="center"/>
    </xf>
    <xf numFmtId="166" fontId="9" fillId="5" borderId="3" xfId="0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164" fontId="9" fillId="6" borderId="3" xfId="0" applyNumberFormat="1" applyFont="1" applyFill="1" applyBorder="1" applyAlignment="1">
      <alignment horizontal="right" vertical="center"/>
    </xf>
    <xf numFmtId="165" fontId="9" fillId="6" borderId="3" xfId="0" applyNumberFormat="1" applyFont="1" applyFill="1" applyBorder="1" applyAlignment="1">
      <alignment horizontal="right" vertical="center"/>
    </xf>
    <xf numFmtId="166" fontId="9" fillId="6" borderId="3" xfId="0" applyNumberFormat="1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4" xfId="0" applyFont="1" applyFill="1" applyBorder="1"/>
    <xf numFmtId="164" fontId="11" fillId="4" borderId="4" xfId="0" applyNumberFormat="1" applyFont="1" applyFill="1" applyBorder="1"/>
    <xf numFmtId="165" fontId="11" fillId="4" borderId="4" xfId="0" applyNumberFormat="1" applyFont="1" applyFill="1" applyBorder="1"/>
    <xf numFmtId="166" fontId="11" fillId="4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3" customWidth="1"/>
    <col min="3" max="3" width="34" customWidth="1"/>
    <col min="4" max="4" width="27" customWidth="1"/>
    <col min="5" max="5" width="26" customWidth="1"/>
    <col min="6" max="6" width="27" customWidth="1"/>
    <col min="7" max="7" width="26" customWidth="1"/>
    <col min="8" max="8" width="28" customWidth="1"/>
    <col min="9" max="9" width="25" customWidth="1"/>
    <col min="10" max="10" width="15" customWidth="1"/>
    <col min="11" max="11" width="25" customWidth="1"/>
    <col min="12" max="12" width="29" customWidth="1"/>
    <col min="13" max="13" width="21" customWidth="1"/>
  </cols>
  <sheetData>
    <row r="1" ht="3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0" customHeight="1" x14ac:dyDescent="0.25"/>
    <row r="4" ht="18" customHeight="1" spans="1:13" x14ac:dyDescent="0.25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 t="s">
        <v>6</v>
      </c>
      <c r="M4" s="3"/>
    </row>
    <row r="5" ht="28" customHeight="1" spans="1:13" x14ac:dyDescent="0.25">
      <c r="A5" s="4">
        <f>AVERAGE(I8:I21)</f>
      </c>
      <c r="B5" s="4"/>
      <c r="C5" s="4"/>
      <c r="D5" s="5">
        <f>AVERAGE(H8:H21)</f>
      </c>
      <c r="E5" s="5"/>
      <c r="F5" s="5"/>
      <c r="G5" s="6">
        <f>AVERAGE(J8:J21)</f>
      </c>
      <c r="H5" s="6"/>
      <c r="I5" s="6"/>
      <c r="J5" s="7">
        <f>SUM(L8:L21)</f>
      </c>
      <c r="K5" s="7"/>
      <c r="L5" s="8">
        <f>COUNTIF(M8:M21,"STAR - PROMOTE")</f>
      </c>
      <c r="M5" s="8"/>
    </row>
    <row r="6" ht="10" customHeight="1" x14ac:dyDescent="0.25"/>
    <row r="7" ht="26" customHeight="1" spans="1:13" x14ac:dyDescent="0.25">
      <c r="A7" s="9" t="s">
        <v>7</v>
      </c>
      <c r="B7" s="9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  <c r="H7" s="10" t="s">
        <v>14</v>
      </c>
      <c r="I7" s="10" t="s">
        <v>15</v>
      </c>
      <c r="J7" s="10" t="s">
        <v>16</v>
      </c>
      <c r="K7" s="10" t="s">
        <v>17</v>
      </c>
      <c r="L7" s="10" t="s">
        <v>18</v>
      </c>
      <c r="M7" s="10" t="s">
        <v>19</v>
      </c>
    </row>
    <row r="8" ht="20" customHeight="1" spans="1:13" x14ac:dyDescent="0.25">
      <c r="A8" s="11" t="s">
        <v>20</v>
      </c>
      <c r="B8" s="12" t="s">
        <v>21</v>
      </c>
      <c r="C8" s="12" t="s">
        <v>22</v>
      </c>
      <c r="D8" s="13">
        <v>4.65</v>
      </c>
      <c r="E8" s="13">
        <f>ROUND(D8*0.06, 2)</f>
      </c>
      <c r="F8" s="13">
        <v>0.55</v>
      </c>
      <c r="G8" s="13">
        <f>SUM(D8:F8)</f>
      </c>
      <c r="H8" s="13">
        <f>ROUND(G8/0.28, 2)</f>
      </c>
      <c r="I8" s="13">
        <v>19.5</v>
      </c>
      <c r="J8" s="14">
        <f>IF(I8&gt;0, G8/I8, 0)</f>
      </c>
      <c r="K8" s="13">
        <f>I8-G8</f>
      </c>
      <c r="L8" s="15">
        <f>ROUND(K8*620, 0)</f>
      </c>
      <c r="M8" s="16">
        <f>IF(J8&lt;=0.28,"STAR - PROMOTE",IF(J8&lt;=0.33,"PLOWHORSE - HOLD","PUZZLE - REPRICE"))</f>
      </c>
    </row>
    <row r="9" ht="20" customHeight="1" spans="1:13" x14ac:dyDescent="0.25">
      <c r="A9" s="17" t="s">
        <v>23</v>
      </c>
      <c r="B9" s="18" t="s">
        <v>21</v>
      </c>
      <c r="C9" s="18" t="s">
        <v>24</v>
      </c>
      <c r="D9" s="19">
        <v>6.4</v>
      </c>
      <c r="E9" s="19">
        <f>ROUND(D9*0.06, 2)</f>
      </c>
      <c r="F9" s="19">
        <v>0.6</v>
      </c>
      <c r="G9" s="19">
        <f>SUM(D9:F9)</f>
      </c>
      <c r="H9" s="19">
        <f>ROUND(G9/0.28, 2)</f>
      </c>
      <c r="I9" s="19">
        <v>26</v>
      </c>
      <c r="J9" s="20">
        <f>IF(I9&gt;0, G9/I9, 0)</f>
      </c>
      <c r="K9" s="19">
        <f>I9-G9</f>
      </c>
      <c r="L9" s="21">
        <f>ROUND(K9*410, 0)</f>
      </c>
      <c r="M9" s="22">
        <f>IF(J9&lt;=0.28,"STAR - PROMOTE",IF(J9&lt;=0.33,"PLOWHORSE - HOLD","PUZZLE - REPRICE"))</f>
      </c>
    </row>
    <row r="10" ht="20" customHeight="1" spans="1:13" x14ac:dyDescent="0.25">
      <c r="A10" s="11" t="s">
        <v>25</v>
      </c>
      <c r="B10" s="12" t="s">
        <v>21</v>
      </c>
      <c r="C10" s="12" t="s">
        <v>26</v>
      </c>
      <c r="D10" s="13">
        <v>3.55</v>
      </c>
      <c r="E10" s="13">
        <f>ROUND(D10*0.06, 2)</f>
      </c>
      <c r="F10" s="13">
        <v>0.45</v>
      </c>
      <c r="G10" s="13">
        <f>SUM(D10:F10)</f>
      </c>
      <c r="H10" s="13">
        <f>ROUND(G10/0.28, 2)</f>
      </c>
      <c r="I10" s="13">
        <v>21</v>
      </c>
      <c r="J10" s="14">
        <f>IF(I10&gt;0, G10/I10, 0)</f>
      </c>
      <c r="K10" s="13">
        <f>I10-G10</f>
      </c>
      <c r="L10" s="15">
        <f>ROUND(K10*540, 0)</f>
      </c>
      <c r="M10" s="16">
        <f>IF(J10&lt;=0.28,"STAR - PROMOTE",IF(J10&lt;=0.33,"PLOWHORSE - HOLD","PUZZLE - REPRICE"))</f>
      </c>
    </row>
    <row r="11" ht="20" customHeight="1" spans="1:13" x14ac:dyDescent="0.25">
      <c r="A11" s="17" t="s">
        <v>27</v>
      </c>
      <c r="B11" s="18" t="s">
        <v>28</v>
      </c>
      <c r="C11" s="18" t="s">
        <v>29</v>
      </c>
      <c r="D11" s="19">
        <v>3.1</v>
      </c>
      <c r="E11" s="19">
        <f>ROUND(D11*0.06, 2)</f>
      </c>
      <c r="F11" s="19">
        <v>0.5</v>
      </c>
      <c r="G11" s="19">
        <f>SUM(D11:F11)</f>
      </c>
      <c r="H11" s="19">
        <f>ROUND(G11/0.28, 2)</f>
      </c>
      <c r="I11" s="19">
        <v>18.5</v>
      </c>
      <c r="J11" s="20">
        <f>IF(I11&gt;0, G11/I11, 0)</f>
      </c>
      <c r="K11" s="19">
        <f>I11-G11</f>
      </c>
      <c r="L11" s="21">
        <f>ROUND(K11*780, 0)</f>
      </c>
      <c r="M11" s="22">
        <f>IF(J11&lt;=0.28,"STAR - PROMOTE",IF(J11&lt;=0.33,"PLOWHORSE - HOLD","PUZZLE - REPRICE"))</f>
      </c>
    </row>
    <row r="12" ht="20" customHeight="1" spans="1:13" x14ac:dyDescent="0.25">
      <c r="A12" s="11" t="s">
        <v>30</v>
      </c>
      <c r="B12" s="12" t="s">
        <v>28</v>
      </c>
      <c r="C12" s="12" t="s">
        <v>31</v>
      </c>
      <c r="D12" s="13">
        <v>2.35</v>
      </c>
      <c r="E12" s="13">
        <f>ROUND(D12*0.06, 2)</f>
      </c>
      <c r="F12" s="13">
        <v>0.45</v>
      </c>
      <c r="G12" s="13">
        <f>SUM(D12:F12)</f>
      </c>
      <c r="H12" s="13">
        <f>ROUND(G12/0.28, 2)</f>
      </c>
      <c r="I12" s="13">
        <v>16</v>
      </c>
      <c r="J12" s="14">
        <f>IF(I12&gt;0, G12/I12, 0)</f>
      </c>
      <c r="K12" s="13">
        <f>I12-G12</f>
      </c>
      <c r="L12" s="15">
        <f>ROUND(K12*890, 0)</f>
      </c>
      <c r="M12" s="16">
        <f>IF(J12&lt;=0.28,"STAR - PROMOTE",IF(J12&lt;=0.33,"PLOWHORSE - HOLD","PUZZLE - REPRICE"))</f>
      </c>
    </row>
    <row r="13" ht="20" customHeight="1" spans="1:13" x14ac:dyDescent="0.25">
      <c r="A13" s="17" t="s">
        <v>32</v>
      </c>
      <c r="B13" s="18" t="s">
        <v>33</v>
      </c>
      <c r="C13" s="18" t="s">
        <v>34</v>
      </c>
      <c r="D13" s="19">
        <v>3.9</v>
      </c>
      <c r="E13" s="19">
        <f>ROUND(D13*0.06, 2)</f>
      </c>
      <c r="F13" s="19">
        <v>0.4</v>
      </c>
      <c r="G13" s="19">
        <f>SUM(D13:F13)</f>
      </c>
      <c r="H13" s="19">
        <f>ROUND(G13/0.28, 2)</f>
      </c>
      <c r="I13" s="19">
        <v>17.5</v>
      </c>
      <c r="J13" s="20">
        <f>IF(I13&gt;0, G13/I13, 0)</f>
      </c>
      <c r="K13" s="19">
        <f>I13-G13</f>
      </c>
      <c r="L13" s="21">
        <f>ROUND(K13*670, 0)</f>
      </c>
      <c r="M13" s="22">
        <f>IF(J13&lt;=0.28,"STAR - PROMOTE",IF(J13&lt;=0.33,"PLOWHORSE - HOLD","PUZZLE - REPRICE"))</f>
      </c>
    </row>
    <row r="14" ht="20" customHeight="1" spans="1:13" x14ac:dyDescent="0.25">
      <c r="A14" s="11" t="s">
        <v>35</v>
      </c>
      <c r="B14" s="12" t="s">
        <v>33</v>
      </c>
      <c r="C14" s="12" t="s">
        <v>36</v>
      </c>
      <c r="D14" s="13">
        <v>2.8</v>
      </c>
      <c r="E14" s="13">
        <f>ROUND(D14*0.06, 2)</f>
      </c>
      <c r="F14" s="13">
        <v>0.35</v>
      </c>
      <c r="G14" s="13">
        <f>SUM(D14:F14)</f>
      </c>
      <c r="H14" s="13">
        <f>ROUND(G14/0.28, 2)</f>
      </c>
      <c r="I14" s="13">
        <v>15.5</v>
      </c>
      <c r="J14" s="14">
        <f>IF(I14&gt;0, G14/I14, 0)</f>
      </c>
      <c r="K14" s="13">
        <f>I14-G14</f>
      </c>
      <c r="L14" s="15">
        <f>ROUND(K14*530, 0)</f>
      </c>
      <c r="M14" s="16">
        <f>IF(J14&lt;=0.28,"STAR - PROMOTE",IF(J14&lt;=0.33,"PLOWHORSE - HOLD","PUZZLE - REPRICE"))</f>
      </c>
    </row>
    <row r="15" ht="20" customHeight="1" spans="1:13" x14ac:dyDescent="0.25">
      <c r="A15" s="17" t="s">
        <v>37</v>
      </c>
      <c r="B15" s="18" t="s">
        <v>38</v>
      </c>
      <c r="C15" s="18" t="s">
        <v>39</v>
      </c>
      <c r="D15" s="19">
        <v>3.15</v>
      </c>
      <c r="E15" s="19">
        <f>ROUND(D15*0.06, 2)</f>
      </c>
      <c r="F15" s="19">
        <v>0.45</v>
      </c>
      <c r="G15" s="19">
        <f>SUM(D15:F15)</f>
      </c>
      <c r="H15" s="19">
        <f>ROUND(G15/0.28, 2)</f>
      </c>
      <c r="I15" s="19">
        <v>16.5</v>
      </c>
      <c r="J15" s="20">
        <f>IF(I15&gt;0, G15/I15, 0)</f>
      </c>
      <c r="K15" s="19">
        <f>I15-G15</f>
      </c>
      <c r="L15" s="21">
        <f>ROUND(K15*610, 0)</f>
      </c>
      <c r="M15" s="22">
        <f>IF(J15&lt;=0.28,"STAR - PROMOTE",IF(J15&lt;=0.33,"PLOWHORSE - HOLD","PUZZLE - REPRICE"))</f>
      </c>
    </row>
    <row r="16" ht="20" customHeight="1" spans="1:13" x14ac:dyDescent="0.25">
      <c r="A16" s="11" t="s">
        <v>40</v>
      </c>
      <c r="B16" s="12" t="s">
        <v>41</v>
      </c>
      <c r="C16" s="12" t="s">
        <v>42</v>
      </c>
      <c r="D16" s="13">
        <v>3.6</v>
      </c>
      <c r="E16" s="13">
        <f>ROUND(D16*0.06, 2)</f>
      </c>
      <c r="F16" s="13">
        <v>0.35</v>
      </c>
      <c r="G16" s="13">
        <f>SUM(D16:F16)</f>
      </c>
      <c r="H16" s="13">
        <f>ROUND(G16/0.28, 2)</f>
      </c>
      <c r="I16" s="13">
        <v>15</v>
      </c>
      <c r="J16" s="14">
        <f>IF(I16&gt;0, G16/I16, 0)</f>
      </c>
      <c r="K16" s="13">
        <f>I16-G16</f>
      </c>
      <c r="L16" s="15">
        <f>ROUND(K16*490, 0)</f>
      </c>
      <c r="M16" s="16">
        <f>IF(J16&lt;=0.28,"STAR - PROMOTE",IF(J16&lt;=0.33,"PLOWHORSE - HOLD","PUZZLE - REPRICE"))</f>
      </c>
    </row>
    <row r="17" ht="20" customHeight="1" spans="1:13" x14ac:dyDescent="0.25">
      <c r="A17" s="17" t="s">
        <v>43</v>
      </c>
      <c r="B17" s="18" t="s">
        <v>41</v>
      </c>
      <c r="C17" s="18" t="s">
        <v>44</v>
      </c>
      <c r="D17" s="19">
        <v>2.2</v>
      </c>
      <c r="E17" s="19">
        <f>ROUND(D17*0.06, 2)</f>
      </c>
      <c r="F17" s="19">
        <v>0.3</v>
      </c>
      <c r="G17" s="19">
        <f>SUM(D17:F17)</f>
      </c>
      <c r="H17" s="19">
        <f>ROUND(G17/0.28, 2)</f>
      </c>
      <c r="I17" s="19">
        <v>13.5</v>
      </c>
      <c r="J17" s="20">
        <f>IF(I17&gt;0, G17/I17, 0)</f>
      </c>
      <c r="K17" s="19">
        <f>I17-G17</f>
      </c>
      <c r="L17" s="21">
        <f>ROUND(K17*580, 0)</f>
      </c>
      <c r="M17" s="22">
        <f>IF(J17&lt;=0.28,"STAR - PROMOTE",IF(J17&lt;=0.33,"PLOWHORSE - HOLD","PUZZLE - REPRICE"))</f>
      </c>
    </row>
    <row r="18" ht="20" customHeight="1" spans="1:13" x14ac:dyDescent="0.25">
      <c r="A18" s="11" t="s">
        <v>45</v>
      </c>
      <c r="B18" s="12" t="s">
        <v>46</v>
      </c>
      <c r="C18" s="12" t="s">
        <v>47</v>
      </c>
      <c r="D18" s="13">
        <v>1.25</v>
      </c>
      <c r="E18" s="13">
        <f>ROUND(D18*0.06, 2)</f>
      </c>
      <c r="F18" s="13">
        <v>0.32</v>
      </c>
      <c r="G18" s="13">
        <f>SUM(D18:F18)</f>
      </c>
      <c r="H18" s="13">
        <f>ROUND(G18/0.28, 2)</f>
      </c>
      <c r="I18" s="13">
        <v>6.75</v>
      </c>
      <c r="J18" s="14">
        <f>IF(I18&gt;0, G18/I18, 0)</f>
      </c>
      <c r="K18" s="13">
        <f>I18-G18</f>
      </c>
      <c r="L18" s="15">
        <f>ROUND(K18*1450, 0)</f>
      </c>
      <c r="M18" s="16">
        <f>IF(J18&lt;=0.28,"STAR - PROMOTE",IF(J18&lt;=0.33,"PLOWHORSE - HOLD","PUZZLE - REPRICE"))</f>
      </c>
    </row>
    <row r="19" ht="20" customHeight="1" spans="1:13" x14ac:dyDescent="0.25">
      <c r="A19" s="17" t="s">
        <v>48</v>
      </c>
      <c r="B19" s="18" t="s">
        <v>46</v>
      </c>
      <c r="C19" s="18" t="s">
        <v>49</v>
      </c>
      <c r="D19" s="19">
        <v>0.92</v>
      </c>
      <c r="E19" s="19">
        <f>ROUND(D19*0.06, 2)</f>
      </c>
      <c r="F19" s="19">
        <v>0.28</v>
      </c>
      <c r="G19" s="19">
        <f>SUM(D19:F19)</f>
      </c>
      <c r="H19" s="19">
        <f>ROUND(G19/0.28, 2)</f>
      </c>
      <c r="I19" s="19">
        <v>5.75</v>
      </c>
      <c r="J19" s="20">
        <f>IF(I19&gt;0, G19/I19, 0)</f>
      </c>
      <c r="K19" s="19">
        <f>I19-G19</f>
      </c>
      <c r="L19" s="21">
        <f>ROUND(K19*1620, 0)</f>
      </c>
      <c r="M19" s="22">
        <f>IF(J19&lt;=0.28,"STAR - PROMOTE",IF(J19&lt;=0.33,"PLOWHORSE - HOLD","PUZZLE - REPRICE"))</f>
      </c>
    </row>
    <row r="20" ht="20" customHeight="1" spans="1:13" x14ac:dyDescent="0.25">
      <c r="A20" s="11" t="s">
        <v>50</v>
      </c>
      <c r="B20" s="12" t="s">
        <v>51</v>
      </c>
      <c r="C20" s="12" t="s">
        <v>52</v>
      </c>
      <c r="D20" s="13">
        <v>2.45</v>
      </c>
      <c r="E20" s="13">
        <f>ROUND(D20*0.06, 2)</f>
      </c>
      <c r="F20" s="13">
        <v>0.25</v>
      </c>
      <c r="G20" s="13">
        <f>SUM(D20:F20)</f>
      </c>
      <c r="H20" s="13">
        <f>ROUND(G20/0.28, 2)</f>
      </c>
      <c r="I20" s="13">
        <v>15</v>
      </c>
      <c r="J20" s="14">
        <f>IF(I20&gt;0, G20/I20, 0)</f>
      </c>
      <c r="K20" s="13">
        <f>I20-G20</f>
      </c>
      <c r="L20" s="15">
        <f>ROUND(K20*720, 0)</f>
      </c>
      <c r="M20" s="16">
        <f>IF(J20&lt;=0.28,"STAR - PROMOTE",IF(J20&lt;=0.33,"PLOWHORSE - HOLD","PUZZLE - REPRICE"))</f>
      </c>
    </row>
    <row r="21" ht="20" customHeight="1" spans="1:13" x14ac:dyDescent="0.25">
      <c r="A21" s="17" t="s">
        <v>53</v>
      </c>
      <c r="B21" s="18" t="s">
        <v>54</v>
      </c>
      <c r="C21" s="18" t="s">
        <v>55</v>
      </c>
      <c r="D21" s="19">
        <v>1.95</v>
      </c>
      <c r="E21" s="19">
        <f>ROUND(D21*0.06, 2)</f>
      </c>
      <c r="F21" s="19">
        <v>0.3</v>
      </c>
      <c r="G21" s="19">
        <f>SUM(D21:F21)</f>
      </c>
      <c r="H21" s="19">
        <f>ROUND(G21/0.28, 2)</f>
      </c>
      <c r="I21" s="19">
        <v>11.5</v>
      </c>
      <c r="J21" s="20">
        <f>IF(I21&gt;0, G21/I21, 0)</f>
      </c>
      <c r="K21" s="19">
        <f>I21-G21</f>
      </c>
      <c r="L21" s="21">
        <f>ROUND(K21*460, 0)</f>
      </c>
      <c r="M21" s="22">
        <f>IF(J21&lt;=0.28,"STAR - PROMOTE",IF(J21&lt;=0.33,"PLOWHORSE - HOLD","PUZZLE - REPRICE"))</f>
      </c>
    </row>
    <row r="22" ht="24" customHeight="1" spans="1:13" x14ac:dyDescent="0.25">
      <c r="A22" s="23" t="s">
        <v>56</v>
      </c>
      <c r="B22" s="23"/>
      <c r="C22" s="23"/>
      <c r="D22" s="24">
        <f>AVERAGE(D8:D21)</f>
      </c>
      <c r="E22" s="24">
        <f>AVERAGE(E8:E21)</f>
      </c>
      <c r="F22" s="24">
        <f>AVERAGE(F8:F21)</f>
      </c>
      <c r="G22" s="24">
        <f>AVERAGE(G8:G21)</f>
      </c>
      <c r="H22" s="24">
        <f>AVERAGE(H8:H21)</f>
      </c>
      <c r="I22" s="24">
        <f>AVERAGE(I8:I21)</f>
      </c>
      <c r="J22" s="25">
        <f>AVERAGE(J8:J21)</f>
      </c>
      <c r="K22" s="24">
        <f>AVERAGE(K8:K21)</f>
      </c>
      <c r="L22" s="26">
        <f>SUM(L8:L21)</f>
      </c>
      <c r="M22" s="23">
        <f>IF(AVERAGE(J8:J21)&lt;=0.28,"TARGET MET","REVIEW PORTIONS")</f>
      </c>
    </row>
  </sheetData>
  <mergeCells count="12">
    <mergeCell ref="A1:M1"/>
    <mergeCell ref="A2:M2"/>
    <mergeCell ref="A4:C4"/>
    <mergeCell ref="D4:F4"/>
    <mergeCell ref="G4:I4"/>
    <mergeCell ref="J4:K4"/>
    <mergeCell ref="L4:M4"/>
    <mergeCell ref="A5:C5"/>
    <mergeCell ref="D5:F5"/>
    <mergeCell ref="G5:I5"/>
    <mergeCell ref="J5:K5"/>
    <mergeCell ref="L5:M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&amp; Recipe Engineering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2026-10-16T12:24:49Z</dcterms:created>
  <dcterms:modified xsi:type="dcterms:W3CDTF">2026-10-16T12:24:49Z</dcterms:modified>
</cp:coreProperties>
</file>
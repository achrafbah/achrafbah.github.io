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<sst xmlns="http://schemas.openxmlformats.org/spreadsheetml/2006/main" count="74" uniqueCount="54">
  <si>
    <t>WAREHOUSE INVENTORY BIN LOCATIONS, PALLET SLOTS &amp; CAPACITY MODEL</t>
  </si>
  <si>
    <t>BizTools Executive Financial &amp; Operations Engine • Automated Dynamic Formulas</t>
  </si>
  <si>
    <t>Total Pallet Slots</t>
  </si>
  <si>
    <t>Occupied Bins</t>
  </si>
  <si>
    <t>Warehouse Utilization</t>
  </si>
  <si>
    <t>Stored SKU Value</t>
  </si>
  <si>
    <t>Aisle / Zone</t>
  </si>
  <si>
    <t>Product Category</t>
  </si>
  <si>
    <t>Total Bin Capacity</t>
  </si>
  <si>
    <t>Available Bins</t>
  </si>
  <si>
    <t>Estimated Inventory $</t>
  </si>
  <si>
    <t>Zone Status</t>
  </si>
  <si>
    <t>Turnover Rate</t>
  </si>
  <si>
    <t>Zone A-01</t>
  </si>
  <si>
    <t>High-Velocity Electronics</t>
  </si>
  <si>
    <t>Near Capacity</t>
  </si>
  <si>
    <t>Fast (Weekly)</t>
  </si>
  <si>
    <t>Zone A-02</t>
  </si>
  <si>
    <t>Audio &amp; Wearables</t>
  </si>
  <si>
    <t>Optimal</t>
  </si>
  <si>
    <t>Zone B-01</t>
  </si>
  <si>
    <t>Ergonomic Furniture</t>
  </si>
  <si>
    <t>Medium</t>
  </si>
  <si>
    <t>Zone B-02</t>
  </si>
  <si>
    <t>Standing Desks &amp; Arms</t>
  </si>
  <si>
    <t>Healthy</t>
  </si>
  <si>
    <t>Zone C-01</t>
  </si>
  <si>
    <t>Apparel &amp; Textiles</t>
  </si>
  <si>
    <t>Fast (Bi-Weekly)</t>
  </si>
  <si>
    <t>Zone C-02</t>
  </si>
  <si>
    <t>Fitness &amp; Resistance</t>
  </si>
  <si>
    <t>Zone D-01</t>
  </si>
  <si>
    <t>Kitchenware &amp; Glass</t>
  </si>
  <si>
    <t>Zone D-02</t>
  </si>
  <si>
    <t>Food Containers / Eco</t>
  </si>
  <si>
    <t>Available Space</t>
  </si>
  <si>
    <t>Zone E-01</t>
  </si>
  <si>
    <t>Cosmetics &amp; Skincare</t>
  </si>
  <si>
    <t>Zone E-02</t>
  </si>
  <si>
    <t>Supplements &amp; Vitamins</t>
  </si>
  <si>
    <t>Zone F-01</t>
  </si>
  <si>
    <t>Outdoor &amp; Camping</t>
  </si>
  <si>
    <t>Slow (Seasonal)</t>
  </si>
  <si>
    <t>Zone F-02</t>
  </si>
  <si>
    <t>Travel Bags &amp; Luggage</t>
  </si>
  <si>
    <t>Zone G-01</t>
  </si>
  <si>
    <t>Bulk Packaging Supplies</t>
  </si>
  <si>
    <t>Zone G-02</t>
  </si>
  <si>
    <t>Returns &amp; Inspection</t>
  </si>
  <si>
    <t>Open Processing</t>
  </si>
  <si>
    <t>Daily Flush</t>
  </si>
  <si>
    <t>WAREHOUSE TOTAL</t>
  </si>
  <si>
    <t/>
  </si>
  <si>
    <t>85.4% Utilized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</si>
</sst>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3" fontId="6" fillId="7" borderId="2" xfId="0" applyNumberFormat="1" applyFont="1" applyFill="1" applyBorder="1" applyAlignment="1">
      <alignment horizontal="right" vertical="center"/>
    </xf>
    <xf numFmtId="165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3" fontId="7" fillId="8" borderId="3" xfId="0" applyNumberFormat="1" applyFont="1" applyFill="1" applyBorder="1" applyAlignment="1">
      <alignment horizontal="right" vertical="center"/>
    </xf>
    <xf numFmtId="165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4" customWidth="1"/>
    <col min="2" max="2" width="18" customWidth="1"/>
    <col min="3" max="3" width="17" customWidth="1"/>
    <col min="4" max="5" width="15" customWidth="1"/>
    <col min="6" max="6" width="20" customWidth="1"/>
    <col min="7" max="7" width="15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SUM(C8:C21)</f>
      </c>
      <c r="B5" s="4"/>
      <c r="C5" s="4">
        <f>SUM(D8:D21)</f>
      </c>
      <c r="D5" s="4"/>
      <c r="E5" s="5">
        <f>C5/A5</f>
      </c>
      <c r="F5" s="5"/>
      <c r="G5" s="6">
        <f>SUM(F8:F21)</f>
      </c>
      <c r="H5" s="6"/>
    </row>
    <row r="7" ht="26" customHeight="1" spans="1:8" x14ac:dyDescent="0.25">
      <c r="A7" s="7" t="s">
        <v>6</v>
      </c>
      <c r="B7" s="8" t="s">
        <v>7</v>
      </c>
      <c r="C7" s="9" t="s">
        <v>8</v>
      </c>
      <c r="D7" s="9" t="s">
        <v>3</v>
      </c>
      <c r="E7" s="9" t="s">
        <v>9</v>
      </c>
      <c r="F7" s="9" t="s">
        <v>10</v>
      </c>
      <c r="G7" s="7" t="s">
        <v>11</v>
      </c>
      <c r="H7" s="7" t="s">
        <v>12</v>
      </c>
    </row>
    <row r="8" ht="20" customHeight="1" spans="1:8" x14ac:dyDescent="0.25">
      <c r="A8" s="10" t="s">
        <v>13</v>
      </c>
      <c r="B8" s="11" t="s">
        <v>14</v>
      </c>
      <c r="C8" s="12">
        <v>240</v>
      </c>
      <c r="D8" s="12">
        <v>215</v>
      </c>
      <c r="E8" s="12">
        <f>C8-D8</f>
      </c>
      <c r="F8" s="13">
        <v>285000</v>
      </c>
      <c r="G8" s="10" t="s">
        <v>15</v>
      </c>
      <c r="H8" s="10" t="s">
        <v>16</v>
      </c>
    </row>
    <row r="9" ht="20" customHeight="1" spans="1:8" x14ac:dyDescent="0.25">
      <c r="A9" s="14" t="s">
        <v>17</v>
      </c>
      <c r="B9" s="15" t="s">
        <v>18</v>
      </c>
      <c r="C9" s="16">
        <v>240</v>
      </c>
      <c r="D9" s="16">
        <v>190</v>
      </c>
      <c r="E9" s="16">
        <f>C9-D9</f>
      </c>
      <c r="F9" s="17">
        <v>195000</v>
      </c>
      <c r="G9" s="14" t="s">
        <v>19</v>
      </c>
      <c r="H9" s="14" t="s">
        <v>16</v>
      </c>
    </row>
    <row r="10" ht="20" customHeight="1" spans="1:8" x14ac:dyDescent="0.25">
      <c r="A10" s="10" t="s">
        <v>20</v>
      </c>
      <c r="B10" s="11" t="s">
        <v>21</v>
      </c>
      <c r="C10" s="12">
        <v>180</v>
      </c>
      <c r="D10" s="12">
        <v>160</v>
      </c>
      <c r="E10" s="12">
        <f>C10-D10</f>
      </c>
      <c r="F10" s="13">
        <v>145000</v>
      </c>
      <c r="G10" s="10" t="s">
        <v>19</v>
      </c>
      <c r="H10" s="10" t="s">
        <v>22</v>
      </c>
    </row>
    <row r="11" ht="20" customHeight="1" spans="1:8" x14ac:dyDescent="0.25">
      <c r="A11" s="14" t="s">
        <v>23</v>
      </c>
      <c r="B11" s="15" t="s">
        <v>24</v>
      </c>
      <c r="C11" s="16">
        <v>180</v>
      </c>
      <c r="D11" s="16">
        <v>140</v>
      </c>
      <c r="E11" s="16">
        <f>C11-D11</f>
      </c>
      <c r="F11" s="17">
        <v>130000</v>
      </c>
      <c r="G11" s="14" t="s">
        <v>25</v>
      </c>
      <c r="H11" s="14" t="s">
        <v>22</v>
      </c>
    </row>
    <row r="12" ht="20" customHeight="1" spans="1:8" x14ac:dyDescent="0.25">
      <c r="A12" s="10" t="s">
        <v>26</v>
      </c>
      <c r="B12" s="11" t="s">
        <v>27</v>
      </c>
      <c r="C12" s="12">
        <v>320</v>
      </c>
      <c r="D12" s="12">
        <v>290</v>
      </c>
      <c r="E12" s="12">
        <f>C12-D12</f>
      </c>
      <c r="F12" s="13">
        <v>165000</v>
      </c>
      <c r="G12" s="10" t="s">
        <v>15</v>
      </c>
      <c r="H12" s="10" t="s">
        <v>28</v>
      </c>
    </row>
    <row r="13" ht="20" customHeight="1" spans="1:8" x14ac:dyDescent="0.25">
      <c r="A13" s="14" t="s">
        <v>29</v>
      </c>
      <c r="B13" s="15" t="s">
        <v>30</v>
      </c>
      <c r="C13" s="16">
        <v>320</v>
      </c>
      <c r="D13" s="16">
        <v>220</v>
      </c>
      <c r="E13" s="16">
        <f>C13-D13</f>
      </c>
      <c r="F13" s="17">
        <v>98000</v>
      </c>
      <c r="G13" s="14" t="s">
        <v>25</v>
      </c>
      <c r="H13" s="14" t="s">
        <v>22</v>
      </c>
    </row>
    <row r="14" ht="20" customHeight="1" spans="1:8" x14ac:dyDescent="0.25">
      <c r="A14" s="10" t="s">
        <v>31</v>
      </c>
      <c r="B14" s="11" t="s">
        <v>32</v>
      </c>
      <c r="C14" s="12">
        <v>200</v>
      </c>
      <c r="D14" s="12">
        <v>175</v>
      </c>
      <c r="E14" s="12">
        <f>C14-D14</f>
      </c>
      <c r="F14" s="13">
        <v>112000</v>
      </c>
      <c r="G14" s="10" t="s">
        <v>19</v>
      </c>
      <c r="H14" s="10" t="s">
        <v>22</v>
      </c>
    </row>
    <row r="15" ht="20" customHeight="1" spans="1:8" x14ac:dyDescent="0.25">
      <c r="A15" s="14" t="s">
        <v>33</v>
      </c>
      <c r="B15" s="15" t="s">
        <v>34</v>
      </c>
      <c r="C15" s="16">
        <v>200</v>
      </c>
      <c r="D15" s="16">
        <v>130</v>
      </c>
      <c r="E15" s="16">
        <f>C15-D15</f>
      </c>
      <c r="F15" s="17">
        <v>74000</v>
      </c>
      <c r="G15" s="14" t="s">
        <v>35</v>
      </c>
      <c r="H15" s="14" t="s">
        <v>22</v>
      </c>
    </row>
    <row r="16" ht="20" customHeight="1" spans="1:8" x14ac:dyDescent="0.25">
      <c r="A16" s="10" t="s">
        <v>36</v>
      </c>
      <c r="B16" s="11" t="s">
        <v>37</v>
      </c>
      <c r="C16" s="12">
        <v>280</v>
      </c>
      <c r="D16" s="12">
        <v>260</v>
      </c>
      <c r="E16" s="12">
        <f>C16-D16</f>
      </c>
      <c r="F16" s="13">
        <v>210000</v>
      </c>
      <c r="G16" s="10" t="s">
        <v>15</v>
      </c>
      <c r="H16" s="10" t="s">
        <v>16</v>
      </c>
    </row>
    <row r="17" ht="20" customHeight="1" spans="1:8" x14ac:dyDescent="0.25">
      <c r="A17" s="14" t="s">
        <v>38</v>
      </c>
      <c r="B17" s="15" t="s">
        <v>39</v>
      </c>
      <c r="C17" s="16">
        <v>280</v>
      </c>
      <c r="D17" s="16">
        <v>245</v>
      </c>
      <c r="E17" s="16">
        <f>C17-D17</f>
      </c>
      <c r="F17" s="17">
        <v>185000</v>
      </c>
      <c r="G17" s="14" t="s">
        <v>15</v>
      </c>
      <c r="H17" s="14" t="s">
        <v>16</v>
      </c>
    </row>
    <row r="18" ht="20" customHeight="1" spans="1:8" x14ac:dyDescent="0.25">
      <c r="A18" s="10" t="s">
        <v>40</v>
      </c>
      <c r="B18" s="11" t="s">
        <v>41</v>
      </c>
      <c r="C18" s="12">
        <v>160</v>
      </c>
      <c r="D18" s="12">
        <v>110</v>
      </c>
      <c r="E18" s="12">
        <f>C18-D18</f>
      </c>
      <c r="F18" s="13">
        <v>82000</v>
      </c>
      <c r="G18" s="10" t="s">
        <v>35</v>
      </c>
      <c r="H18" s="10" t="s">
        <v>42</v>
      </c>
    </row>
    <row r="19" ht="20" customHeight="1" spans="1:8" x14ac:dyDescent="0.25">
      <c r="A19" s="14" t="s">
        <v>43</v>
      </c>
      <c r="B19" s="15" t="s">
        <v>44</v>
      </c>
      <c r="C19" s="16">
        <v>160</v>
      </c>
      <c r="D19" s="16">
        <v>125</v>
      </c>
      <c r="E19" s="16">
        <f>C19-D19</f>
      </c>
      <c r="F19" s="17">
        <v>95000</v>
      </c>
      <c r="G19" s="14" t="s">
        <v>25</v>
      </c>
      <c r="H19" s="14" t="s">
        <v>22</v>
      </c>
    </row>
    <row r="20" ht="20" customHeight="1" spans="1:8" x14ac:dyDescent="0.25">
      <c r="A20" s="10" t="s">
        <v>45</v>
      </c>
      <c r="B20" s="11" t="s">
        <v>46</v>
      </c>
      <c r="C20" s="12">
        <v>350</v>
      </c>
      <c r="D20" s="12">
        <v>310</v>
      </c>
      <c r="E20" s="12">
        <f>C20-D20</f>
      </c>
      <c r="F20" s="13">
        <v>45000</v>
      </c>
      <c r="G20" s="10" t="s">
        <v>15</v>
      </c>
      <c r="H20" s="10" t="s">
        <v>16</v>
      </c>
    </row>
    <row r="21" ht="20" customHeight="1" spans="1:8" x14ac:dyDescent="0.25">
      <c r="A21" s="14" t="s">
        <v>47</v>
      </c>
      <c r="B21" s="15" t="s">
        <v>48</v>
      </c>
      <c r="C21" s="16">
        <v>150</v>
      </c>
      <c r="D21" s="16">
        <v>65</v>
      </c>
      <c r="E21" s="16">
        <f>C21-D21</f>
      </c>
      <c r="F21" s="17">
        <v>32000</v>
      </c>
      <c r="G21" s="14" t="s">
        <v>49</v>
      </c>
      <c r="H21" s="14" t="s">
        <v>50</v>
      </c>
    </row>
    <row r="22" ht="24" customHeight="1" spans="1:8" x14ac:dyDescent="0.25">
      <c r="A22" s="18" t="s">
        <v>51</v>
      </c>
      <c r="B22" s="19" t="s">
        <v>52</v>
      </c>
      <c r="C22" s="20">
        <f>SUM(C8:C21)</f>
      </c>
      <c r="D22" s="20">
        <f>SUM(D8:D21)</f>
      </c>
      <c r="E22" s="20">
        <f>SUM(E8:E21)</f>
      </c>
      <c r="F22" s="21">
        <f>SUM(F8:F21)</f>
      </c>
      <c r="G22" s="18" t="s">
        <v>53</v>
      </c>
      <c r="H22" s="18" t="s">
        <v>52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
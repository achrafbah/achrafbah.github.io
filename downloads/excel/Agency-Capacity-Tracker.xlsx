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cy Capacity &amp; Margin" state="visible" r:id="rId4"/>
  </sheets>
  <calcPr calcId="171027"/>
</workbook>
</file>

<file path=xl/sharedStrings.xml><?xml version="1.0" encoding="utf-8"?>
<sst xmlns="http://schemas.openxmlformats.org/spreadsheetml/2006/main" count="63" uniqueCount="63">
  <si>
    <t>AGENCY CLIENT RETAINER CAPACITY, TEAM UTILIZATION &amp; PROFITABILITY TRACKER</t>
  </si>
  <si>
    <t>Billable vs Non-Billable Hours, Utilization Rate %, Effective Hourly Rate &amp; Client Delivery Margin</t>
  </si>
  <si>
    <t>TOTAL MONTHLY RETAINER REV</t>
  </si>
  <si>
    <t>TEAM BILLABLE UTILIZATION %</t>
  </si>
  <si>
    <t>TOTAL AGENCY GROSS PROFIT</t>
  </si>
  <si>
    <t>AVG DELIVERY MARGIN %</t>
  </si>
  <si>
    <t>OPTIMAL UTILIZATION STAFF</t>
  </si>
  <si>
    <t>Staff ID</t>
  </si>
  <si>
    <t>Team Member</t>
  </si>
  <si>
    <t>Practice Area</t>
  </si>
  <si>
    <t>Monthly Capacity (Hrs)</t>
  </si>
  <si>
    <t>Billable Client Hrs</t>
  </si>
  <si>
    <t>Internal / Bench Hrs</t>
  </si>
  <si>
    <t>Utilization Rate %</t>
  </si>
  <si>
    <t>Blended Bill Rate ($/Hr)</t>
  </si>
  <si>
    <t>Billed Revenue ($)</t>
  </si>
  <si>
    <t>Fully Loaded Cost ($)</t>
  </si>
  <si>
    <t>Net Margin ($)</t>
  </si>
  <si>
    <t>Profit Margin %</t>
  </si>
  <si>
    <t>Capacity Status</t>
  </si>
  <si>
    <t>EMP-01</t>
  </si>
  <si>
    <t>Elena Rostova</t>
  </si>
  <si>
    <t>Strategy &amp; Advisory</t>
  </si>
  <si>
    <t>EMP-02</t>
  </si>
  <si>
    <t>Marcus Vance</t>
  </si>
  <si>
    <t>Paid Media &amp; ROAS</t>
  </si>
  <si>
    <t>EMP-03</t>
  </si>
  <si>
    <t>Chloe Lindqvist</t>
  </si>
  <si>
    <t>Brand &amp; UI/UX Design</t>
  </si>
  <si>
    <t>EMP-04</t>
  </si>
  <si>
    <t>Tariq Al-Mansoor</t>
  </si>
  <si>
    <t>Full-Stack Web Dev</t>
  </si>
  <si>
    <t>EMP-05</t>
  </si>
  <si>
    <t>Hannah Abbott</t>
  </si>
  <si>
    <t>Lifecycle &amp; CRM Ops</t>
  </si>
  <si>
    <t>EMP-06</t>
  </si>
  <si>
    <t>Devon Brooks</t>
  </si>
  <si>
    <t>Paid Social &amp; Creative</t>
  </si>
  <si>
    <t>EMP-07</t>
  </si>
  <si>
    <t>Sofia Mendoza</t>
  </si>
  <si>
    <t>SEO &amp; Content Studio</t>
  </si>
  <si>
    <t>EMP-08</t>
  </si>
  <si>
    <t>Liam O'Connor</t>
  </si>
  <si>
    <t>Analytics &amp; Attribution</t>
  </si>
  <si>
    <t>EMP-09</t>
  </si>
  <si>
    <t>Nadia Kouri</t>
  </si>
  <si>
    <t>Client Account Director</t>
  </si>
  <si>
    <t>EMP-10</t>
  </si>
  <si>
    <t>Lucas Meyer</t>
  </si>
  <si>
    <t>Webflow &amp; Shopify Dev</t>
  </si>
  <si>
    <t>EMP-11</t>
  </si>
  <si>
    <t>Grace Takahashi</t>
  </si>
  <si>
    <t>Motion &amp; Video Editor</t>
  </si>
  <si>
    <t>EMP-12</t>
  </si>
  <si>
    <t>Julian Sterling</t>
  </si>
  <si>
    <t>CRO &amp; Landing Pages</t>
  </si>
  <si>
    <t>EMP-13</t>
  </si>
  <si>
    <t>Amara Okafor</t>
  </si>
  <si>
    <t>Account Manager</t>
  </si>
  <si>
    <t>EMP-14</t>
  </si>
  <si>
    <t>Ryan Kowalski</t>
  </si>
  <si>
    <t>AI Automation Architect</t>
  </si>
  <si>
    <t>AGENCY TOTAL /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</si>
</sst>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E2E8F0"/>
      <sz val="10"/>
      <name val="Segoe UI"/>
    </font>
    <font>
      <b/>
      <color rgb="FF475569"/>
      <sz val="8"/>
      <name val="Segoe UI"/>
    </font>
    <font>
      <b/>
      <color rgb="FF0F172A"/>
      <sz val="13"/>
      <name val="Segoe UI"/>
    </font>
    <font>
      <b/>
      <color rgb="FF2563EB"/>
      <sz val="13"/>
      <name val="Segoe UI"/>
    </font>
    <font>
      <b/>
      <color rgb="FF059669"/>
      <sz val="13"/>
      <name val="Segoe UI"/>
    </font>
    <font>
      <b/>
      <color rgb="FF4F46E5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2563EB"/>
      <sz val="9"/>
      <name val="Segoe UI"/>
    </font>
    <font>
      <b/>
      <color rgb="FF0F172A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3" fontId="9" fillId="5" borderId="3" xfId="0" applyNumberFormat="1" applyFont="1" applyFill="1" applyBorder="1" applyAlignment="1">
      <alignment horizontal="right" vertical="center"/>
    </xf>
    <xf numFmtId="165" fontId="9" fillId="5" borderId="3" xfId="0" applyNumberFormat="1" applyFont="1" applyFill="1" applyBorder="1" applyAlignment="1">
      <alignment horizontal="right" vertical="center"/>
    </xf>
    <xf numFmtId="164" fontId="9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3" fontId="9" fillId="6" borderId="3" xfId="0" applyNumberFormat="1" applyFont="1" applyFill="1" applyBorder="1" applyAlignment="1">
      <alignment horizontal="right" vertical="center"/>
    </xf>
    <xf numFmtId="165" fontId="9" fillId="6" borderId="3" xfId="0" applyNumberFormat="1" applyFont="1" applyFill="1" applyBorder="1" applyAlignment="1">
      <alignment horizontal="right" vertical="center"/>
    </xf>
    <xf numFmtId="164" fontId="9" fillId="6" borderId="3" xfId="0" applyNumberFormat="1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4" xfId="0" applyFont="1" applyFill="1" applyBorder="1"/>
    <xf numFmtId="3" fontId="11" fillId="4" borderId="4" xfId="0" applyNumberFormat="1" applyFont="1" applyFill="1" applyBorder="1"/>
    <xf numFmtId="165" fontId="11" fillId="4" borderId="4" xfId="0" applyNumberFormat="1" applyFont="1" applyFill="1" applyBorder="1"/>
    <xf numFmtId="164" fontId="11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27" customWidth="1"/>
    <col min="4" max="4" width="26" customWidth="1"/>
    <col min="5" max="5" width="23" customWidth="1"/>
    <col min="6" max="6" width="24" customWidth="1"/>
    <col min="7" max="7" width="22" customWidth="1"/>
    <col min="8" max="8" width="28" customWidth="1"/>
    <col min="9" max="9" width="22" customWidth="1"/>
    <col min="10" max="10" width="25" customWidth="1"/>
    <col min="11" max="11" width="18" customWidth="1"/>
    <col min="12" max="13" width="19" customWidth="1"/>
  </cols>
  <sheetData>
    <row r="1" ht="3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0" customHeight="1" x14ac:dyDescent="0.25"/>
    <row r="4" ht="18" customHeight="1" spans="1:13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 t="s">
        <v>6</v>
      </c>
      <c r="M4" s="3"/>
    </row>
    <row r="5" ht="28" customHeight="1" spans="1:13" x14ac:dyDescent="0.25">
      <c r="A5" s="4">
        <f>SUM(I8:I21)</f>
      </c>
      <c r="B5" s="4"/>
      <c r="C5" s="4"/>
      <c r="D5" s="5">
        <f>AVERAGE(G8:G21)</f>
      </c>
      <c r="E5" s="5"/>
      <c r="F5" s="5"/>
      <c r="G5" s="6">
        <f>SUM(K8:K21)</f>
      </c>
      <c r="H5" s="6"/>
      <c r="I5" s="6"/>
      <c r="J5" s="7">
        <f>AVERAGE(L8:L21)</f>
      </c>
      <c r="K5" s="7"/>
      <c r="L5" s="8">
        <f>COUNTIF(M8:M21,"OPTIMAL BAND")</f>
      </c>
      <c r="M5" s="8"/>
    </row>
    <row r="6" ht="10" customHeight="1" x14ac:dyDescent="0.25"/>
    <row r="7" ht="26" customHeight="1" spans="1:13" x14ac:dyDescent="0.25">
      <c r="A7" s="9" t="s">
        <v>7</v>
      </c>
      <c r="B7" s="9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16</v>
      </c>
      <c r="K7" s="10" t="s">
        <v>17</v>
      </c>
      <c r="L7" s="10" t="s">
        <v>18</v>
      </c>
      <c r="M7" s="10" t="s">
        <v>19</v>
      </c>
    </row>
    <row r="8" ht="20" customHeight="1" spans="1:13" x14ac:dyDescent="0.25">
      <c r="A8" s="11" t="s">
        <v>20</v>
      </c>
      <c r="B8" s="12" t="s">
        <v>21</v>
      </c>
      <c r="C8" s="12" t="s">
        <v>22</v>
      </c>
      <c r="D8" s="13">
        <v>160</v>
      </c>
      <c r="E8" s="13">
        <v>134</v>
      </c>
      <c r="F8" s="13">
        <f>D8-E8</f>
      </c>
      <c r="G8" s="14">
        <f>IF(D8&gt;0, E8/D8, 0)</f>
      </c>
      <c r="H8" s="15">
        <v>195</v>
      </c>
      <c r="I8" s="15">
        <f>E8*H8</f>
      </c>
      <c r="J8" s="15">
        <v>11800</v>
      </c>
      <c r="K8" s="15">
        <f>I8-J8</f>
      </c>
      <c r="L8" s="14">
        <f>IF(I8&gt;0, K8/I8, 0)</f>
      </c>
      <c r="M8" s="16">
        <f>IF(G8&gt;0.90,"BURNOUT RISK",IF(G8&gt;=0.78,"OPTIMAL BAND","ADD CLIENT LOAD"))</f>
      </c>
    </row>
    <row r="9" ht="20" customHeight="1" spans="1:13" x14ac:dyDescent="0.25">
      <c r="A9" s="17" t="s">
        <v>23</v>
      </c>
      <c r="B9" s="18" t="s">
        <v>24</v>
      </c>
      <c r="C9" s="18" t="s">
        <v>25</v>
      </c>
      <c r="D9" s="19">
        <v>160</v>
      </c>
      <c r="E9" s="19">
        <v>142</v>
      </c>
      <c r="F9" s="19">
        <f>D9-E9</f>
      </c>
      <c r="G9" s="20">
        <f>IF(D9&gt;0, E9/D9, 0)</f>
      </c>
      <c r="H9" s="21">
        <v>165</v>
      </c>
      <c r="I9" s="21">
        <f>E9*H9</f>
      </c>
      <c r="J9" s="21">
        <v>9600</v>
      </c>
      <c r="K9" s="21">
        <f>I9-J9</f>
      </c>
      <c r="L9" s="20">
        <f>IF(I9&gt;0, K9/I9, 0)</f>
      </c>
      <c r="M9" s="22">
        <f>IF(G9&gt;0.90,"BURNOUT RISK",IF(G9&gt;=0.78,"OPTIMAL BAND","ADD CLIENT LOAD"))</f>
      </c>
    </row>
    <row r="10" ht="20" customHeight="1" spans="1:13" x14ac:dyDescent="0.25">
      <c r="A10" s="11" t="s">
        <v>26</v>
      </c>
      <c r="B10" s="12" t="s">
        <v>27</v>
      </c>
      <c r="C10" s="12" t="s">
        <v>28</v>
      </c>
      <c r="D10" s="13">
        <v>160</v>
      </c>
      <c r="E10" s="13">
        <v>138</v>
      </c>
      <c r="F10" s="13">
        <f>D10-E10</f>
      </c>
      <c r="G10" s="14">
        <f>IF(D10&gt;0, E10/D10, 0)</f>
      </c>
      <c r="H10" s="15">
        <v>160</v>
      </c>
      <c r="I10" s="15">
        <f>E10*H10</f>
      </c>
      <c r="J10" s="15">
        <v>9200</v>
      </c>
      <c r="K10" s="15">
        <f>I10-J10</f>
      </c>
      <c r="L10" s="14">
        <f>IF(I10&gt;0, K10/I10, 0)</f>
      </c>
      <c r="M10" s="16">
        <f>IF(G10&gt;0.90,"BURNOUT RISK",IF(G10&gt;=0.78,"OPTIMAL BAND","ADD CLIENT LOAD"))</f>
      </c>
    </row>
    <row r="11" ht="20" customHeight="1" spans="1:13" x14ac:dyDescent="0.25">
      <c r="A11" s="17" t="s">
        <v>29</v>
      </c>
      <c r="B11" s="18" t="s">
        <v>30</v>
      </c>
      <c r="C11" s="18" t="s">
        <v>31</v>
      </c>
      <c r="D11" s="19">
        <v>160</v>
      </c>
      <c r="E11" s="19">
        <v>146</v>
      </c>
      <c r="F11" s="19">
        <f>D11-E11</f>
      </c>
      <c r="G11" s="20">
        <f>IF(D11&gt;0, E11/D11, 0)</f>
      </c>
      <c r="H11" s="21">
        <v>175</v>
      </c>
      <c r="I11" s="21">
        <f>E11*H11</f>
      </c>
      <c r="J11" s="21">
        <v>10800</v>
      </c>
      <c r="K11" s="21">
        <f>I11-J11</f>
      </c>
      <c r="L11" s="20">
        <f>IF(I11&gt;0, K11/I11, 0)</f>
      </c>
      <c r="M11" s="22">
        <f>IF(G11&gt;0.90,"BURNOUT RISK",IF(G11&gt;=0.78,"OPTIMAL BAND","ADD CLIENT LOAD"))</f>
      </c>
    </row>
    <row r="12" ht="20" customHeight="1" spans="1:13" x14ac:dyDescent="0.25">
      <c r="A12" s="11" t="s">
        <v>32</v>
      </c>
      <c r="B12" s="12" t="s">
        <v>33</v>
      </c>
      <c r="C12" s="12" t="s">
        <v>34</v>
      </c>
      <c r="D12" s="13">
        <v>160</v>
      </c>
      <c r="E12" s="13">
        <v>128</v>
      </c>
      <c r="F12" s="13">
        <f>D12-E12</f>
      </c>
      <c r="G12" s="14">
        <f>IF(D12&gt;0, E12/D12, 0)</f>
      </c>
      <c r="H12" s="15">
        <v>150</v>
      </c>
      <c r="I12" s="15">
        <f>E12*H12</f>
      </c>
      <c r="J12" s="15">
        <v>8600</v>
      </c>
      <c r="K12" s="15">
        <f>I12-J12</f>
      </c>
      <c r="L12" s="14">
        <f>IF(I12&gt;0, K12/I12, 0)</f>
      </c>
      <c r="M12" s="16">
        <f>IF(G12&gt;0.90,"BURNOUT RISK",IF(G12&gt;=0.78,"OPTIMAL BAND","ADD CLIENT LOAD"))</f>
      </c>
    </row>
    <row r="13" ht="20" customHeight="1" spans="1:13" x14ac:dyDescent="0.25">
      <c r="A13" s="17" t="s">
        <v>35</v>
      </c>
      <c r="B13" s="18" t="s">
        <v>36</v>
      </c>
      <c r="C13" s="18" t="s">
        <v>37</v>
      </c>
      <c r="D13" s="19">
        <v>160</v>
      </c>
      <c r="E13" s="19">
        <v>152</v>
      </c>
      <c r="F13" s="19">
        <f>D13-E13</f>
      </c>
      <c r="G13" s="20">
        <f>IF(D13&gt;0, E13/D13, 0)</f>
      </c>
      <c r="H13" s="21">
        <v>155</v>
      </c>
      <c r="I13" s="21">
        <f>E13*H13</f>
      </c>
      <c r="J13" s="21">
        <v>8900</v>
      </c>
      <c r="K13" s="21">
        <f>I13-J13</f>
      </c>
      <c r="L13" s="20">
        <f>IF(I13&gt;0, K13/I13, 0)</f>
      </c>
      <c r="M13" s="22">
        <f>IF(G13&gt;0.90,"BURNOUT RISK",IF(G13&gt;=0.78,"OPTIMAL BAND","ADD CLIENT LOAD"))</f>
      </c>
    </row>
    <row r="14" ht="20" customHeight="1" spans="1:13" x14ac:dyDescent="0.25">
      <c r="A14" s="11" t="s">
        <v>38</v>
      </c>
      <c r="B14" s="12" t="s">
        <v>39</v>
      </c>
      <c r="C14" s="12" t="s">
        <v>40</v>
      </c>
      <c r="D14" s="13">
        <v>160</v>
      </c>
      <c r="E14" s="13">
        <v>132</v>
      </c>
      <c r="F14" s="13">
        <f>D14-E14</f>
      </c>
      <c r="G14" s="14">
        <f>IF(D14&gt;0, E14/D14, 0)</f>
      </c>
      <c r="H14" s="15">
        <v>145</v>
      </c>
      <c r="I14" s="15">
        <f>E14*H14</f>
      </c>
      <c r="J14" s="15">
        <v>8200</v>
      </c>
      <c r="K14" s="15">
        <f>I14-J14</f>
      </c>
      <c r="L14" s="14">
        <f>IF(I14&gt;0, K14/I14, 0)</f>
      </c>
      <c r="M14" s="16">
        <f>IF(G14&gt;0.90,"BURNOUT RISK",IF(G14&gt;=0.78,"OPTIMAL BAND","ADD CLIENT LOAD"))</f>
      </c>
    </row>
    <row r="15" ht="20" customHeight="1" spans="1:13" x14ac:dyDescent="0.25">
      <c r="A15" s="17" t="s">
        <v>41</v>
      </c>
      <c r="B15" s="18" t="s">
        <v>42</v>
      </c>
      <c r="C15" s="18" t="s">
        <v>43</v>
      </c>
      <c r="D15" s="19">
        <v>160</v>
      </c>
      <c r="E15" s="19">
        <v>136</v>
      </c>
      <c r="F15" s="19">
        <f>D15-E15</f>
      </c>
      <c r="G15" s="20">
        <f>IF(D15&gt;0, E15/D15, 0)</f>
      </c>
      <c r="H15" s="21">
        <v>180</v>
      </c>
      <c r="I15" s="21">
        <f>E15*H15</f>
      </c>
      <c r="J15" s="21">
        <v>10500</v>
      </c>
      <c r="K15" s="21">
        <f>I15-J15</f>
      </c>
      <c r="L15" s="20">
        <f>IF(I15&gt;0, K15/I15, 0)</f>
      </c>
      <c r="M15" s="22">
        <f>IF(G15&gt;0.90,"BURNOUT RISK",IF(G15&gt;=0.78,"OPTIMAL BAND","ADD CLIENT LOAD"))</f>
      </c>
    </row>
    <row r="16" ht="20" customHeight="1" spans="1:13" x14ac:dyDescent="0.25">
      <c r="A16" s="11" t="s">
        <v>44</v>
      </c>
      <c r="B16" s="12" t="s">
        <v>45</v>
      </c>
      <c r="C16" s="12" t="s">
        <v>46</v>
      </c>
      <c r="D16" s="13">
        <v>160</v>
      </c>
      <c r="E16" s="13">
        <v>124</v>
      </c>
      <c r="F16" s="13">
        <f>D16-E16</f>
      </c>
      <c r="G16" s="14">
        <f>IF(D16&gt;0, E16/D16, 0)</f>
      </c>
      <c r="H16" s="15">
        <v>185</v>
      </c>
      <c r="I16" s="15">
        <f>E16*H16</f>
      </c>
      <c r="J16" s="15">
        <v>11200</v>
      </c>
      <c r="K16" s="15">
        <f>I16-J16</f>
      </c>
      <c r="L16" s="14">
        <f>IF(I16&gt;0, K16/I16, 0)</f>
      </c>
      <c r="M16" s="16">
        <f>IF(G16&gt;0.90,"BURNOUT RISK",IF(G16&gt;=0.78,"OPTIMAL BAND","ADD CLIENT LOAD"))</f>
      </c>
    </row>
    <row r="17" ht="20" customHeight="1" spans="1:13" x14ac:dyDescent="0.25">
      <c r="A17" s="17" t="s">
        <v>47</v>
      </c>
      <c r="B17" s="18" t="s">
        <v>48</v>
      </c>
      <c r="C17" s="18" t="s">
        <v>49</v>
      </c>
      <c r="D17" s="19">
        <v>160</v>
      </c>
      <c r="E17" s="19">
        <v>140</v>
      </c>
      <c r="F17" s="19">
        <f>D17-E17</f>
      </c>
      <c r="G17" s="20">
        <f>IF(D17&gt;0, E17/D17, 0)</f>
      </c>
      <c r="H17" s="21">
        <v>165</v>
      </c>
      <c r="I17" s="21">
        <f>E17*H17</f>
      </c>
      <c r="J17" s="21">
        <v>9400</v>
      </c>
      <c r="K17" s="21">
        <f>I17-J17</f>
      </c>
      <c r="L17" s="20">
        <f>IF(I17&gt;0, K17/I17, 0)</f>
      </c>
      <c r="M17" s="22">
        <f>IF(G17&gt;0.90,"BURNOUT RISK",IF(G17&gt;=0.78,"OPTIMAL BAND","ADD CLIENT LOAD"))</f>
      </c>
    </row>
    <row r="18" ht="20" customHeight="1" spans="1:13" x14ac:dyDescent="0.25">
      <c r="A18" s="11" t="s">
        <v>50</v>
      </c>
      <c r="B18" s="12" t="s">
        <v>51</v>
      </c>
      <c r="C18" s="12" t="s">
        <v>52</v>
      </c>
      <c r="D18" s="13">
        <v>160</v>
      </c>
      <c r="E18" s="13">
        <v>116</v>
      </c>
      <c r="F18" s="13">
        <f>D18-E18</f>
      </c>
      <c r="G18" s="14">
        <f>IF(D18&gt;0, E18/D18, 0)</f>
      </c>
      <c r="H18" s="15">
        <v>140</v>
      </c>
      <c r="I18" s="15">
        <f>E18*H18</f>
      </c>
      <c r="J18" s="15">
        <v>7900</v>
      </c>
      <c r="K18" s="15">
        <f>I18-J18</f>
      </c>
      <c r="L18" s="14">
        <f>IF(I18&gt;0, K18/I18, 0)</f>
      </c>
      <c r="M18" s="16">
        <f>IF(G18&gt;0.90,"BURNOUT RISK",IF(G18&gt;=0.78,"OPTIMAL BAND","ADD CLIENT LOAD"))</f>
      </c>
    </row>
    <row r="19" ht="20" customHeight="1" spans="1:13" x14ac:dyDescent="0.25">
      <c r="A19" s="17" t="s">
        <v>53</v>
      </c>
      <c r="B19" s="18" t="s">
        <v>54</v>
      </c>
      <c r="C19" s="18" t="s">
        <v>55</v>
      </c>
      <c r="D19" s="19">
        <v>160</v>
      </c>
      <c r="E19" s="19">
        <v>135</v>
      </c>
      <c r="F19" s="19">
        <f>D19-E19</f>
      </c>
      <c r="G19" s="20">
        <f>IF(D19&gt;0, E19/D19, 0)</f>
      </c>
      <c r="H19" s="21">
        <v>170</v>
      </c>
      <c r="I19" s="21">
        <f>E19*H19</f>
      </c>
      <c r="J19" s="21">
        <v>9800</v>
      </c>
      <c r="K19" s="21">
        <f>I19-J19</f>
      </c>
      <c r="L19" s="20">
        <f>IF(I19&gt;0, K19/I19, 0)</f>
      </c>
      <c r="M19" s="22">
        <f>IF(G19&gt;0.90,"BURNOUT RISK",IF(G19&gt;=0.78,"OPTIMAL BAND","ADD CLIENT LOAD"))</f>
      </c>
    </row>
    <row r="20" ht="20" customHeight="1" spans="1:13" x14ac:dyDescent="0.25">
      <c r="A20" s="11" t="s">
        <v>56</v>
      </c>
      <c r="B20" s="12" t="s">
        <v>57</v>
      </c>
      <c r="C20" s="12" t="s">
        <v>58</v>
      </c>
      <c r="D20" s="13">
        <v>160</v>
      </c>
      <c r="E20" s="13">
        <v>130</v>
      </c>
      <c r="F20" s="13">
        <f>D20-E20</f>
      </c>
      <c r="G20" s="14">
        <f>IF(D20&gt;0, E20/D20, 0)</f>
      </c>
      <c r="H20" s="15">
        <v>145</v>
      </c>
      <c r="I20" s="15">
        <f>E20*H20</f>
      </c>
      <c r="J20" s="15">
        <v>8100</v>
      </c>
      <c r="K20" s="15">
        <f>I20-J20</f>
      </c>
      <c r="L20" s="14">
        <f>IF(I20&gt;0, K20/I20, 0)</f>
      </c>
      <c r="M20" s="16">
        <f>IF(G20&gt;0.90,"BURNOUT RISK",IF(G20&gt;=0.78,"OPTIMAL BAND","ADD CLIENT LOAD"))</f>
      </c>
    </row>
    <row r="21" ht="20" customHeight="1" spans="1:13" x14ac:dyDescent="0.25">
      <c r="A21" s="17" t="s">
        <v>59</v>
      </c>
      <c r="B21" s="18" t="s">
        <v>60</v>
      </c>
      <c r="C21" s="18" t="s">
        <v>61</v>
      </c>
      <c r="D21" s="19">
        <v>160</v>
      </c>
      <c r="E21" s="19">
        <v>144</v>
      </c>
      <c r="F21" s="19">
        <f>D21-E21</f>
      </c>
      <c r="G21" s="20">
        <f>IF(D21&gt;0, E21/D21, 0)</f>
      </c>
      <c r="H21" s="21">
        <v>190</v>
      </c>
      <c r="I21" s="21">
        <f>E21*H21</f>
      </c>
      <c r="J21" s="21">
        <v>11500</v>
      </c>
      <c r="K21" s="21">
        <f>I21-J21</f>
      </c>
      <c r="L21" s="20">
        <f>IF(I21&gt;0, K21/I21, 0)</f>
      </c>
      <c r="M21" s="22">
        <f>IF(G21&gt;0.90,"BURNOUT RISK",IF(G21&gt;=0.78,"OPTIMAL BAND","ADD CLIENT LOAD"))</f>
      </c>
    </row>
    <row r="22" ht="24" customHeight="1" spans="1:13" x14ac:dyDescent="0.25">
      <c r="A22" s="23" t="s">
        <v>62</v>
      </c>
      <c r="B22" s="23"/>
      <c r="C22" s="23"/>
      <c r="D22" s="24">
        <f>SUM(D8:D21)</f>
      </c>
      <c r="E22" s="24">
        <f>SUM(E8:E21)</f>
      </c>
      <c r="F22" s="24">
        <f>SUM(F8:F21)</f>
      </c>
      <c r="G22" s="25">
        <f>AVERAGE(G8:G21)</f>
      </c>
      <c r="H22" s="26">
        <f>AVERAGE(H8:H21)</f>
      </c>
      <c r="I22" s="26">
        <f>SUM(I8:I21)</f>
      </c>
      <c r="J22" s="26">
        <f>SUM(J8:J21)</f>
      </c>
      <c r="K22" s="26">
        <f>SUM(K8:K21)</f>
      </c>
      <c r="L22" s="25">
        <f>IF(I22&gt;0, K22/I22, 0)</f>
      </c>
      <c r="M22" s="23">
        <f>IF(L22&gt;=0.5,"HIGH PROFITABILITY","REVIEW RATES")</f>
      </c>
    </row>
  </sheetData>
  <mergeCells count="12">
    <mergeCell ref="A1:M1"/>
    <mergeCell ref="A2:M2"/>
    <mergeCell ref="A4:C4"/>
    <mergeCell ref="D4:F4"/>
    <mergeCell ref="G4:I4"/>
    <mergeCell ref="J4:K4"/>
    <mergeCell ref="L4:M4"/>
    <mergeCell ref="A5:C5"/>
    <mergeCell ref="D5:F5"/>
    <mergeCell ref="G5:I5"/>
    <mergeCell ref="J5:K5"/>
    <mergeCell ref="L5:M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 Capacity &amp; Margin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2026-10-16T12:24:49Z</dcterms:created>
  <dcterms:modified xsi:type="dcterms:W3CDTF">2026-10-16T12:24:49Z</dcterms:modified>
</cp:coreProperties>
</file>
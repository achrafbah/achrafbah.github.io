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 Worth &amp; FIRE Tracker" state="visible" r:id="rId4"/>
  </sheets>
  <calcPr calcId="171027"/>
</workbook>
</file>

<file path=xl/sharedStrings.xml><?xml version="1.0" encoding="utf-8"?>
<sst xmlns="http://schemas.openxmlformats.org/spreadsheetml/2006/main" count="84" uniqueCount="56">
  <si>
    <t>PERSONAL NET WORTH &amp; WEALTH PORTFOLIO — LIQUID/ILLIQUID ASSETS, LIABILITIES &amp; FIRE TARGET</t>
  </si>
  <si>
    <t>Comprehensive Balance Sheet | Asset Allocation, Debt Paydown &amp; 4% Safe Withdrawal Rule Calculator</t>
  </si>
  <si>
    <t>TOTAL GROSS ASSETS</t>
  </si>
  <si>
    <t>TOTAL LIABILITIES / DEBT</t>
  </si>
  <si>
    <t>TOTAL NET WORTH</t>
  </si>
  <si>
    <t>LIQUID NET WORTH</t>
  </si>
  <si>
    <t>FIRE TARGET PROGRESS ($2.5M)</t>
  </si>
  <si>
    <t>Account / Holding Name</t>
  </si>
  <si>
    <t>Institution / Custodian</t>
  </si>
  <si>
    <t>Balance Sheet Class</t>
  </si>
  <si>
    <t>Liquidity Status</t>
  </si>
  <si>
    <t>Cost Basis / Principal</t>
  </si>
  <si>
    <t>Current Market Value</t>
  </si>
  <si>
    <t>Unrealized Gain / (Loss)</t>
  </si>
  <si>
    <t>Expected Annual Yield %</t>
  </si>
  <si>
    <t>Est. Annual Passive Income</t>
  </si>
  <si>
    <t>High-Yield Treasury Money Market</t>
  </si>
  <si>
    <t>Vanguard Cash Plus</t>
  </si>
  <si>
    <t>Asset</t>
  </si>
  <si>
    <t>Liquid</t>
  </si>
  <si>
    <t>S&amp;P 500 Index ETF (VOO)</t>
  </si>
  <si>
    <t>Fidelity Brokerage</t>
  </si>
  <si>
    <t>Total World Stock Index (VT)</t>
  </si>
  <si>
    <t>Vanguard</t>
  </si>
  <si>
    <t>401(k) Retirement Target Trust</t>
  </si>
  <si>
    <t>Empower Retirement</t>
  </si>
  <si>
    <t>Illiquid</t>
  </si>
  <si>
    <t>Roth IRA Growth Portfolio</t>
  </si>
  <si>
    <t>Charles Schwab</t>
  </si>
  <si>
    <t>Health Savings Account (HSA Invested)</t>
  </si>
  <si>
    <t>Lively / Schwab</t>
  </si>
  <si>
    <t>Primary Residence (Single Family)</t>
  </si>
  <si>
    <t>County Assessor Est.</t>
  </si>
  <si>
    <t>Rental Investment Condo #2B</t>
  </si>
  <si>
    <t>LLC Holding</t>
  </si>
  <si>
    <t>Private Equity / Angel Syndicate</t>
  </si>
  <si>
    <t>Carta Custodial</t>
  </si>
  <si>
    <t>Series I &amp; US Treasury Bonds</t>
  </si>
  <si>
    <t>TreasuryDirect</t>
  </si>
  <si>
    <t>Crypto Cold Storage (BTC / ETH)</t>
  </si>
  <si>
    <t>Ledger Vault</t>
  </si>
  <si>
    <t>Emergency Checking Operating Cash</t>
  </si>
  <si>
    <t>Chase Private Client</t>
  </si>
  <si>
    <t>Primary Residence 30-Yr Mortgage</t>
  </si>
  <si>
    <t>Wells Fargo Home</t>
  </si>
  <si>
    <t>Liability</t>
  </si>
  <si>
    <t>Rental Property Investment Loan</t>
  </si>
  <si>
    <t>First Republic Bank</t>
  </si>
  <si>
    <t>Executive Auto Financing Note</t>
  </si>
  <si>
    <t>BMW Financial</t>
  </si>
  <si>
    <t>Rewards Credit Card Statement (Paid Monthly)</t>
  </si>
  <si>
    <t>American Express</t>
  </si>
  <si>
    <t>NET WORTH &amp; PASSIVE INCOME SUMMARY</t>
  </si>
  <si>
    <t>All Accounts</t>
  </si>
  <si>
    <t>Net Balance</t>
  </si>
  <si>
    <t>4% Rule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</si>
</sst>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($#,##0.00);&quot;-&quot;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8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 style="thin">
        <color rgb="FF10B981"/>
      </left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10B981"/>
      </left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right" vertical="center"/>
    </xf>
    <xf numFmtId="165" fontId="6" fillId="5" borderId="6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right" vertical="center"/>
    </xf>
    <xf numFmtId="165" fontId="6" fillId="6" borderId="6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right" vertical="center"/>
    </xf>
    <xf numFmtId="164" fontId="7" fillId="7" borderId="7" xfId="0" applyNumberFormat="1" applyFont="1" applyFill="1" applyBorder="1" applyAlignment="1">
      <alignment horizontal="right" vertical="center"/>
    </xf>
    <xf numFmtId="165" fontId="7" fillId="7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8" customWidth="1"/>
    <col min="4" max="4" width="16" customWidth="1"/>
    <col min="5" max="6" width="20" customWidth="1"/>
    <col min="7" max="7" width="22" customWidth="1"/>
    <col min="8" max="8" width="20" customWidth="1"/>
    <col min="9" max="9" width="24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ht="18" customHeight="1" spans="1:9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4" t="s">
        <v>5</v>
      </c>
      <c r="H4" s="3" t="s">
        <v>6</v>
      </c>
      <c r="I4" s="3"/>
    </row>
    <row r="5" ht="28" customHeight="1" spans="1:9" x14ac:dyDescent="0.25">
      <c r="A5" s="5">
        <f>SUMIF(C8:C23,"Asset",F8:F23)</f>
      </c>
      <c r="B5" s="5"/>
      <c r="C5" s="5">
        <f>SUMIF(C8:C23,"Liability",F8:F23)</f>
      </c>
      <c r="D5" s="5"/>
      <c r="E5" s="5">
        <f>SUMIF(C8:C23,"Asset",F8:F23)-SUMIF(C8:C23,"Liability",F8:F23)</f>
      </c>
      <c r="F5" s="5"/>
      <c r="G5" s="6">
        <f>SUMIF(D8:D23,"Liquid",F8:F23)</f>
      </c>
      <c r="H5" s="7">
        <f>(SUMIF(C8:C23,"Asset",F8:F23)-SUMIF(C8:C23,"Liability",F8:F23))/2500000</f>
      </c>
      <c r="I5" s="7"/>
    </row>
    <row r="6" ht="12" customHeight="1" x14ac:dyDescent="0.25"/>
    <row r="7" ht="26" customHeight="1" spans="1:9" x14ac:dyDescent="0.25">
      <c r="A7" s="8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 ht="21" customHeight="1" spans="1:9" x14ac:dyDescent="0.25">
      <c r="A8" s="10" t="s">
        <v>16</v>
      </c>
      <c r="B8" s="10" t="s">
        <v>17</v>
      </c>
      <c r="C8" s="11" t="s">
        <v>18</v>
      </c>
      <c r="D8" s="11" t="s">
        <v>19</v>
      </c>
      <c r="E8" s="12">
        <v>65000</v>
      </c>
      <c r="F8" s="12">
        <v>68400</v>
      </c>
      <c r="G8" s="12">
        <f>IF(C8="Asset",F8-E8,E8-F8)</f>
      </c>
      <c r="H8" s="13">
        <v>0.048</v>
      </c>
      <c r="I8" s="12">
        <f>IF(C8="Asset",F8*H8,-(F8*H8))</f>
      </c>
    </row>
    <row r="9" ht="21" customHeight="1" spans="1:9" x14ac:dyDescent="0.25">
      <c r="A9" s="14" t="s">
        <v>20</v>
      </c>
      <c r="B9" s="14" t="s">
        <v>21</v>
      </c>
      <c r="C9" s="15" t="s">
        <v>18</v>
      </c>
      <c r="D9" s="15" t="s">
        <v>19</v>
      </c>
      <c r="E9" s="16">
        <v>210000</v>
      </c>
      <c r="F9" s="16">
        <v>342500</v>
      </c>
      <c r="G9" s="16">
        <f>IF(C9="Asset",F9-E9,E9-F9)</f>
      </c>
      <c r="H9" s="17">
        <v>0.085</v>
      </c>
      <c r="I9" s="16">
        <f>IF(C9="Asset",F9*H9,-(F9*H9))</f>
      </c>
    </row>
    <row r="10" ht="21" customHeight="1" spans="1:9" x14ac:dyDescent="0.25">
      <c r="A10" s="10" t="s">
        <v>22</v>
      </c>
      <c r="B10" s="10" t="s">
        <v>23</v>
      </c>
      <c r="C10" s="11" t="s">
        <v>18</v>
      </c>
      <c r="D10" s="11" t="s">
        <v>19</v>
      </c>
      <c r="E10" s="12">
        <v>95000</v>
      </c>
      <c r="F10" s="12">
        <v>138900</v>
      </c>
      <c r="G10" s="12">
        <f>IF(C10="Asset",F10-E10,E10-F10)</f>
      </c>
      <c r="H10" s="13">
        <v>0.078</v>
      </c>
      <c r="I10" s="12">
        <f>IF(C10="Asset",F10*H10,-(F10*H10))</f>
      </c>
    </row>
    <row r="11" ht="21" customHeight="1" spans="1:9" x14ac:dyDescent="0.25">
      <c r="A11" s="14" t="s">
        <v>24</v>
      </c>
      <c r="B11" s="14" t="s">
        <v>25</v>
      </c>
      <c r="C11" s="15" t="s">
        <v>18</v>
      </c>
      <c r="D11" s="15" t="s">
        <v>26</v>
      </c>
      <c r="E11" s="16">
        <v>280000</v>
      </c>
      <c r="F11" s="16">
        <v>465000</v>
      </c>
      <c r="G11" s="16">
        <f>IF(C11="Asset",F11-E11,E11-F11)</f>
      </c>
      <c r="H11" s="17">
        <v>0.082</v>
      </c>
      <c r="I11" s="16">
        <f>IF(C11="Asset",F11*H11,-(F11*H11))</f>
      </c>
    </row>
    <row r="12" ht="21" customHeight="1" spans="1:9" x14ac:dyDescent="0.25">
      <c r="A12" s="10" t="s">
        <v>27</v>
      </c>
      <c r="B12" s="10" t="s">
        <v>28</v>
      </c>
      <c r="C12" s="11" t="s">
        <v>18</v>
      </c>
      <c r="D12" s="11" t="s">
        <v>19</v>
      </c>
      <c r="E12" s="12">
        <v>78000</v>
      </c>
      <c r="F12" s="12">
        <v>144200</v>
      </c>
      <c r="G12" s="12">
        <f>IF(C12="Asset",F12-E12,E12-F12)</f>
      </c>
      <c r="H12" s="13">
        <v>0.09</v>
      </c>
      <c r="I12" s="12">
        <f>IF(C12="Asset",F12*H12,-(F12*H12))</f>
      </c>
    </row>
    <row r="13" ht="21" customHeight="1" spans="1:9" x14ac:dyDescent="0.25">
      <c r="A13" s="14" t="s">
        <v>29</v>
      </c>
      <c r="B13" s="14" t="s">
        <v>30</v>
      </c>
      <c r="C13" s="15" t="s">
        <v>18</v>
      </c>
      <c r="D13" s="15" t="s">
        <v>19</v>
      </c>
      <c r="E13" s="16">
        <v>24000</v>
      </c>
      <c r="F13" s="16">
        <v>36800</v>
      </c>
      <c r="G13" s="16">
        <f>IF(C13="Asset",F13-E13,E13-F13)</f>
      </c>
      <c r="H13" s="17">
        <v>0.075</v>
      </c>
      <c r="I13" s="16">
        <f>IF(C13="Asset",F13*H13,-(F13*H13))</f>
      </c>
    </row>
    <row r="14" ht="21" customHeight="1" spans="1:9" x14ac:dyDescent="0.25">
      <c r="A14" s="10" t="s">
        <v>31</v>
      </c>
      <c r="B14" s="10" t="s">
        <v>32</v>
      </c>
      <c r="C14" s="11" t="s">
        <v>18</v>
      </c>
      <c r="D14" s="11" t="s">
        <v>26</v>
      </c>
      <c r="E14" s="12">
        <v>520000</v>
      </c>
      <c r="F14" s="12">
        <v>695000</v>
      </c>
      <c r="G14" s="12">
        <f>IF(C14="Asset",F14-E14,E14-F14)</f>
      </c>
      <c r="H14" s="13">
        <v>0.04</v>
      </c>
      <c r="I14" s="12">
        <f>IF(C14="Asset",F14*H14,-(F14*H14))</f>
      </c>
    </row>
    <row r="15" ht="21" customHeight="1" spans="1:9" x14ac:dyDescent="0.25">
      <c r="A15" s="14" t="s">
        <v>33</v>
      </c>
      <c r="B15" s="14" t="s">
        <v>34</v>
      </c>
      <c r="C15" s="15" t="s">
        <v>18</v>
      </c>
      <c r="D15" s="15" t="s">
        <v>26</v>
      </c>
      <c r="E15" s="16">
        <v>290000</v>
      </c>
      <c r="F15" s="16">
        <v>375000</v>
      </c>
      <c r="G15" s="16">
        <f>IF(C15="Asset",F15-E15,E15-F15)</f>
      </c>
      <c r="H15" s="17">
        <v>0.065</v>
      </c>
      <c r="I15" s="16">
        <f>IF(C15="Asset",F15*H15,-(F15*H15))</f>
      </c>
    </row>
    <row r="16" ht="21" customHeight="1" spans="1:9" x14ac:dyDescent="0.25">
      <c r="A16" s="10" t="s">
        <v>35</v>
      </c>
      <c r="B16" s="10" t="s">
        <v>36</v>
      </c>
      <c r="C16" s="11" t="s">
        <v>18</v>
      </c>
      <c r="D16" s="11" t="s">
        <v>26</v>
      </c>
      <c r="E16" s="12">
        <v>50000</v>
      </c>
      <c r="F16" s="12">
        <v>82000</v>
      </c>
      <c r="G16" s="12">
        <f>IF(C16="Asset",F16-E16,E16-F16)</f>
      </c>
      <c r="H16" s="13">
        <v>0.11</v>
      </c>
      <c r="I16" s="12">
        <f>IF(C16="Asset",F16*H16,-(F16*H16))</f>
      </c>
    </row>
    <row r="17" ht="21" customHeight="1" spans="1:9" x14ac:dyDescent="0.25">
      <c r="A17" s="14" t="s">
        <v>37</v>
      </c>
      <c r="B17" s="14" t="s">
        <v>38</v>
      </c>
      <c r="C17" s="15" t="s">
        <v>18</v>
      </c>
      <c r="D17" s="15" t="s">
        <v>19</v>
      </c>
      <c r="E17" s="16">
        <v>40000</v>
      </c>
      <c r="F17" s="16">
        <v>43600</v>
      </c>
      <c r="G17" s="16">
        <f>IF(C17="Asset",F17-E17,E17-F17)</f>
      </c>
      <c r="H17" s="17">
        <v>0.045</v>
      </c>
      <c r="I17" s="16">
        <f>IF(C17="Asset",F17*H17,-(F17*H17))</f>
      </c>
    </row>
    <row r="18" ht="21" customHeight="1" spans="1:9" x14ac:dyDescent="0.25">
      <c r="A18" s="10" t="s">
        <v>39</v>
      </c>
      <c r="B18" s="10" t="s">
        <v>40</v>
      </c>
      <c r="C18" s="11" t="s">
        <v>18</v>
      </c>
      <c r="D18" s="11" t="s">
        <v>19</v>
      </c>
      <c r="E18" s="12">
        <v>18000</v>
      </c>
      <c r="F18" s="12">
        <v>54200</v>
      </c>
      <c r="G18" s="12">
        <f>IF(C18="Asset",F18-E18,E18-F18)</f>
      </c>
      <c r="H18" s="13">
        <v>0.02</v>
      </c>
      <c r="I18" s="12">
        <f>IF(C18="Asset",F18*H18,-(F18*H18))</f>
      </c>
    </row>
    <row r="19" ht="21" customHeight="1" spans="1:9" x14ac:dyDescent="0.25">
      <c r="A19" s="14" t="s">
        <v>41</v>
      </c>
      <c r="B19" s="14" t="s">
        <v>42</v>
      </c>
      <c r="C19" s="15" t="s">
        <v>18</v>
      </c>
      <c r="D19" s="15" t="s">
        <v>19</v>
      </c>
      <c r="E19" s="16">
        <v>28000</v>
      </c>
      <c r="F19" s="16">
        <v>28000</v>
      </c>
      <c r="G19" s="16">
        <f>IF(C19="Asset",F19-E19,E19-F19)</f>
      </c>
      <c r="H19" s="17">
        <v>0.01</v>
      </c>
      <c r="I19" s="16">
        <f>IF(C19="Asset",F19*H19,-(F19*H19))</f>
      </c>
    </row>
    <row r="20" ht="21" customHeight="1" spans="1:9" x14ac:dyDescent="0.25">
      <c r="A20" s="10" t="s">
        <v>43</v>
      </c>
      <c r="B20" s="10" t="s">
        <v>44</v>
      </c>
      <c r="C20" s="11" t="s">
        <v>45</v>
      </c>
      <c r="D20" s="11" t="s">
        <v>45</v>
      </c>
      <c r="E20" s="12">
        <v>416000</v>
      </c>
      <c r="F20" s="12">
        <v>348500</v>
      </c>
      <c r="G20" s="12">
        <f>IF(C20="Asset",F20-E20,E20-F20)</f>
      </c>
      <c r="H20" s="13">
        <v>0.0325</v>
      </c>
      <c r="I20" s="12">
        <f>IF(C20="Asset",F20*H20,-(F20*H20))</f>
      </c>
    </row>
    <row r="21" ht="21" customHeight="1" spans="1:9" x14ac:dyDescent="0.25">
      <c r="A21" s="14" t="s">
        <v>46</v>
      </c>
      <c r="B21" s="14" t="s">
        <v>47</v>
      </c>
      <c r="C21" s="15" t="s">
        <v>45</v>
      </c>
      <c r="D21" s="15" t="s">
        <v>45</v>
      </c>
      <c r="E21" s="16">
        <v>217500</v>
      </c>
      <c r="F21" s="16">
        <v>189400</v>
      </c>
      <c r="G21" s="16">
        <f>IF(C21="Asset",F21-E21,E21-F21)</f>
      </c>
      <c r="H21" s="17">
        <v>0.055</v>
      </c>
      <c r="I21" s="16">
        <f>IF(C21="Asset",F21*H21,-(F21*H21))</f>
      </c>
    </row>
    <row r="22" ht="21" customHeight="1" spans="1:9" x14ac:dyDescent="0.25">
      <c r="A22" s="10" t="s">
        <v>48</v>
      </c>
      <c r="B22" s="10" t="s">
        <v>49</v>
      </c>
      <c r="C22" s="11" t="s">
        <v>45</v>
      </c>
      <c r="D22" s="11" t="s">
        <v>45</v>
      </c>
      <c r="E22" s="12">
        <v>42000</v>
      </c>
      <c r="F22" s="12">
        <v>18200</v>
      </c>
      <c r="G22" s="12">
        <f>IF(C22="Asset",F22-E22,E22-F22)</f>
      </c>
      <c r="H22" s="13">
        <v>0.039</v>
      </c>
      <c r="I22" s="12">
        <f>IF(C22="Asset",F22*H22,-(F22*H22))</f>
      </c>
    </row>
    <row r="23" ht="21" customHeight="1" spans="1:9" x14ac:dyDescent="0.25">
      <c r="A23" s="14" t="s">
        <v>50</v>
      </c>
      <c r="B23" s="14" t="s">
        <v>51</v>
      </c>
      <c r="C23" s="15" t="s">
        <v>45</v>
      </c>
      <c r="D23" s="15" t="s">
        <v>45</v>
      </c>
      <c r="E23" s="16">
        <v>4800</v>
      </c>
      <c r="F23" s="16">
        <v>4800</v>
      </c>
      <c r="G23" s="16">
        <f>IF(C23="Asset",F23-E23,E23-F23)</f>
      </c>
      <c r="H23" s="17">
        <v>0</v>
      </c>
      <c r="I23" s="16">
        <f>IF(C23="Asset",F23*H23,-(F23*H23))</f>
      </c>
    </row>
    <row r="24" ht="24" customHeight="1" spans="1:9" x14ac:dyDescent="0.25">
      <c r="A24" s="18" t="s">
        <v>52</v>
      </c>
      <c r="B24" s="19" t="s">
        <v>53</v>
      </c>
      <c r="C24" s="19" t="s">
        <v>54</v>
      </c>
      <c r="D24" s="19" t="s">
        <v>55</v>
      </c>
      <c r="E24" s="20">
        <f>SUMIF(C8:C23,"Asset",E8:E23)-SUMIF(C8:C23,"Liability",E8:E23)</f>
      </c>
      <c r="F24" s="20">
        <f>SUMIF(C8:C23,"Asset",F8:F23)-SUMIF(C8:C23,"Liability",F8:F23)</f>
      </c>
      <c r="G24" s="20">
        <f>SUM(G8:G23)</f>
      </c>
      <c r="H24" s="21">
        <f>AVERAGE(H8:H23)</f>
      </c>
      <c r="I24" s="20">
        <f>SUM(I8:I23)</f>
      </c>
    </row>
  </sheetData>
  <mergeCells count="10">
    <mergeCell ref="A1:I1"/>
    <mergeCell ref="A2:I2"/>
    <mergeCell ref="A4:B4"/>
    <mergeCell ref="C4:D4"/>
    <mergeCell ref="E4:F4"/>
    <mergeCell ref="H4:I4"/>
    <mergeCell ref="A5:B5"/>
    <mergeCell ref="C5:D5"/>
    <mergeCell ref="E5:F5"/>
    <mergeCell ref="H5:I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 &amp; FIRE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2026-10-16T12:24:21Z</dcterms:created>
  <dcterms:modified xsi:type="dcterms:W3CDTF">2026-10-16T12:24:21Z</dcterms:modified>
</cp:coreProperties>
</file>
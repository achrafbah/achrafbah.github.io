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Model" state="visible" r:id="rId4"/>
  </sheets>
  <calcPr calcId="171027"/>
</workbook>
</file>

<file path=xl/sharedStrings.xml><?xml version="1.0" encoding="utf-8"?>
<sst xmlns="http://schemas.openxmlformats.org/spreadsheetml/2006/main" count="60" uniqueCount="46">
  <si>
    <t>COMMERCIAL REAL ESTATE LOAN AMORTIZATION &amp; DEBT SERVICE SCHEDULE</t>
  </si>
  <si>
    <t>BizTools Executive Financial &amp; Operations Engine • Automated Dynamic Formulas</t>
  </si>
  <si>
    <t>Loan Principal</t>
  </si>
  <si>
    <t>Total Interest</t>
  </si>
  <si>
    <t>Total DSCR Service</t>
  </si>
  <si>
    <t>Avg Interest Rate</t>
  </si>
  <si>
    <t>Tranche / Asset</t>
  </si>
  <si>
    <t>Lender</t>
  </si>
  <si>
    <t>Term (Yrs)</t>
  </si>
  <si>
    <t>Original Principal</t>
  </si>
  <si>
    <t>Interest Rate</t>
  </si>
  <si>
    <t>Annual Interest</t>
  </si>
  <si>
    <t>Annual Principal &amp; Int</t>
  </si>
  <si>
    <t>Loan Status</t>
  </si>
  <si>
    <t>Plaza Retail Tower A</t>
  </si>
  <si>
    <t>JPMorgan Chase</t>
  </si>
  <si>
    <t>Active</t>
  </si>
  <si>
    <t>Industrial Park B</t>
  </si>
  <si>
    <t>Bank of America</t>
  </si>
  <si>
    <t>Medical Office Center</t>
  </si>
  <si>
    <t>Wells Fargo</t>
  </si>
  <si>
    <t>Multifamily Complex C</t>
  </si>
  <si>
    <t>Freddie Mac</t>
  </si>
  <si>
    <t>Logistics Hub South</t>
  </si>
  <si>
    <t>PNC Bank</t>
  </si>
  <si>
    <t>Downtown Mixed-Use</t>
  </si>
  <si>
    <t>KeyBank</t>
  </si>
  <si>
    <t>Suburban Flex Space</t>
  </si>
  <si>
    <t>Truist Bank</t>
  </si>
  <si>
    <t>Tech Hub Office 4</t>
  </si>
  <si>
    <t>US Bank</t>
  </si>
  <si>
    <t>Cold Storage Facility</t>
  </si>
  <si>
    <t>Fifth Third</t>
  </si>
  <si>
    <t>Retail Strip Center</t>
  </si>
  <si>
    <t>Regions Bank</t>
  </si>
  <si>
    <t>Student Housing Village</t>
  </si>
  <si>
    <t>Fannie Mae</t>
  </si>
  <si>
    <t>Self-Storage Depot East</t>
  </si>
  <si>
    <t>Huntington</t>
  </si>
  <si>
    <t>Corporate HQ Campus</t>
  </si>
  <si>
    <t>Citigroup</t>
  </si>
  <si>
    <t>Data Center Facility</t>
  </si>
  <si>
    <t>Goldman Sachs</t>
  </si>
  <si>
    <t>PORTFOLIO TOTAL</t>
  </si>
  <si>
    <t/>
  </si>
  <si>
    <t>14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</si>
</sst>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9"/>
    </font>
    <font>
      <b/>
      <color rgb="FF64748B"/>
      <sz val="9"/>
    </font>
    <font>
      <b/>
      <color rgb="FF0F172A"/>
      <sz val="12"/>
    </font>
    <font>
      <b/>
      <color rgb="FFFFFFFF"/>
      <sz val="10"/>
    </font>
    <font>
      <color rgb="FF334155"/>
      <sz val="9.5"/>
    </font>
    <font>
      <b/>
      <color rgb="FF0F172A"/>
      <sz val="10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0" fontId="4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right" vertical="center"/>
    </xf>
    <xf numFmtId="10" fontId="6" fillId="7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right" vertical="center"/>
    </xf>
    <xf numFmtId="10" fontId="6" fillId="4" borderId="2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164" fontId="7" fillId="8" borderId="3" xfId="0" applyNumberFormat="1" applyFont="1" applyFill="1" applyBorder="1" applyAlignment="1">
      <alignment horizontal="right" vertical="center"/>
    </xf>
    <xf numFmtId="10" fontId="7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8" customWidth="1"/>
    <col min="2" max="2" width="15" customWidth="1"/>
    <col min="3" max="3" width="12" customWidth="1"/>
    <col min="4" max="4" width="18" customWidth="1"/>
    <col min="5" max="5" width="14" customWidth="1"/>
    <col min="6" max="6" width="16" customWidth="1"/>
    <col min="7" max="7" width="20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8" customHeight="1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24" customHeight="1" spans="1:8" x14ac:dyDescent="0.25">
      <c r="A5" s="4">
        <f>SUM(D8:D21)</f>
      </c>
      <c r="B5" s="4"/>
      <c r="C5" s="4">
        <f>SUM(F8:F21)</f>
      </c>
      <c r="D5" s="4"/>
      <c r="E5" s="4">
        <f>SUM(G8:G21)</f>
      </c>
      <c r="F5" s="4"/>
      <c r="G5" s="5">
        <f>AVERAGE(E8:E21)</f>
      </c>
      <c r="H5" s="5"/>
    </row>
    <row r="7" ht="26" customHeight="1" spans="1:8" x14ac:dyDescent="0.25">
      <c r="A7" s="6" t="s">
        <v>6</v>
      </c>
      <c r="B7" s="6" t="s">
        <v>7</v>
      </c>
      <c r="C7" s="7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7" t="s">
        <v>13</v>
      </c>
    </row>
    <row r="8" ht="20" customHeight="1" spans="1:8" x14ac:dyDescent="0.25">
      <c r="A8" s="9" t="s">
        <v>14</v>
      </c>
      <c r="B8" s="9" t="s">
        <v>15</v>
      </c>
      <c r="C8" s="10">
        <v>25</v>
      </c>
      <c r="D8" s="11">
        <v>4500000</v>
      </c>
      <c r="E8" s="12">
        <v>0.0575</v>
      </c>
      <c r="F8" s="11">
        <f>D8*E8</f>
      </c>
      <c r="G8" s="11">
        <f>ROUND(-PMT(E8,C8,D8),2)</f>
      </c>
      <c r="H8" s="10" t="s">
        <v>16</v>
      </c>
    </row>
    <row r="9" ht="20" customHeight="1" spans="1:8" x14ac:dyDescent="0.25">
      <c r="A9" s="13" t="s">
        <v>17</v>
      </c>
      <c r="B9" s="13" t="s">
        <v>18</v>
      </c>
      <c r="C9" s="14">
        <v>20</v>
      </c>
      <c r="D9" s="15">
        <v>2800000</v>
      </c>
      <c r="E9" s="16">
        <v>0.0625</v>
      </c>
      <c r="F9" s="15">
        <f>D9*E9</f>
      </c>
      <c r="G9" s="15">
        <f>ROUND(-PMT(E9,C9,D9),2)</f>
      </c>
      <c r="H9" s="14" t="s">
        <v>16</v>
      </c>
    </row>
    <row r="10" ht="20" customHeight="1" spans="1:8" x14ac:dyDescent="0.25">
      <c r="A10" s="9" t="s">
        <v>19</v>
      </c>
      <c r="B10" s="9" t="s">
        <v>20</v>
      </c>
      <c r="C10" s="10">
        <v>25</v>
      </c>
      <c r="D10" s="11">
        <v>3200000</v>
      </c>
      <c r="E10" s="12">
        <v>0.055</v>
      </c>
      <c r="F10" s="11">
        <f>D10*E10</f>
      </c>
      <c r="G10" s="11">
        <f>ROUND(-PMT(E10,C10,D10),2)</f>
      </c>
      <c r="H10" s="10" t="s">
        <v>16</v>
      </c>
    </row>
    <row r="11" ht="20" customHeight="1" spans="1:8" x14ac:dyDescent="0.25">
      <c r="A11" s="13" t="s">
        <v>21</v>
      </c>
      <c r="B11" s="13" t="s">
        <v>22</v>
      </c>
      <c r="C11" s="14">
        <v>30</v>
      </c>
      <c r="D11" s="15">
        <v>6800000</v>
      </c>
      <c r="E11" s="16">
        <v>0.051</v>
      </c>
      <c r="F11" s="15">
        <f>D11*E11</f>
      </c>
      <c r="G11" s="15">
        <f>ROUND(-PMT(E11,C11,D11),2)</f>
      </c>
      <c r="H11" s="14" t="s">
        <v>16</v>
      </c>
    </row>
    <row r="12" ht="20" customHeight="1" spans="1:8" x14ac:dyDescent="0.25">
      <c r="A12" s="9" t="s">
        <v>23</v>
      </c>
      <c r="B12" s="9" t="s">
        <v>24</v>
      </c>
      <c r="C12" s="10">
        <v>15</v>
      </c>
      <c r="D12" s="11">
        <v>1950000</v>
      </c>
      <c r="E12" s="12">
        <v>0.064</v>
      </c>
      <c r="F12" s="11">
        <f>D12*E12</f>
      </c>
      <c r="G12" s="11">
        <f>ROUND(-PMT(E12,C12,D12),2)</f>
      </c>
      <c r="H12" s="10" t="s">
        <v>16</v>
      </c>
    </row>
    <row r="13" ht="20" customHeight="1" spans="1:8" x14ac:dyDescent="0.25">
      <c r="A13" s="13" t="s">
        <v>25</v>
      </c>
      <c r="B13" s="13" t="s">
        <v>26</v>
      </c>
      <c r="C13" s="14">
        <v>25</v>
      </c>
      <c r="D13" s="15">
        <v>5200000</v>
      </c>
      <c r="E13" s="16">
        <v>0.058</v>
      </c>
      <c r="F13" s="15">
        <f>D13*E13</f>
      </c>
      <c r="G13" s="15">
        <f>ROUND(-PMT(E13,C13,D13),2)</f>
      </c>
      <c r="H13" s="14" t="s">
        <v>16</v>
      </c>
    </row>
    <row r="14" ht="20" customHeight="1" spans="1:8" x14ac:dyDescent="0.25">
      <c r="A14" s="9" t="s">
        <v>27</v>
      </c>
      <c r="B14" s="9" t="s">
        <v>28</v>
      </c>
      <c r="C14" s="10">
        <v>20</v>
      </c>
      <c r="D14" s="11">
        <v>2100000</v>
      </c>
      <c r="E14" s="12">
        <v>0.061</v>
      </c>
      <c r="F14" s="11">
        <f>D14*E14</f>
      </c>
      <c r="G14" s="11">
        <f>ROUND(-PMT(E14,C14,D14),2)</f>
      </c>
      <c r="H14" s="10" t="s">
        <v>16</v>
      </c>
    </row>
    <row r="15" ht="20" customHeight="1" spans="1:8" x14ac:dyDescent="0.25">
      <c r="A15" s="13" t="s">
        <v>29</v>
      </c>
      <c r="B15" s="13" t="s">
        <v>30</v>
      </c>
      <c r="C15" s="14">
        <v>20</v>
      </c>
      <c r="D15" s="15">
        <v>3600000</v>
      </c>
      <c r="E15" s="16">
        <v>0.059</v>
      </c>
      <c r="F15" s="15">
        <f>D15*E15</f>
      </c>
      <c r="G15" s="15">
        <f>ROUND(-PMT(E15,C15,D15),2)</f>
      </c>
      <c r="H15" s="14" t="s">
        <v>16</v>
      </c>
    </row>
    <row r="16" ht="20" customHeight="1" spans="1:8" x14ac:dyDescent="0.25">
      <c r="A16" s="9" t="s">
        <v>31</v>
      </c>
      <c r="B16" s="9" t="s">
        <v>32</v>
      </c>
      <c r="C16" s="10">
        <v>15</v>
      </c>
      <c r="D16" s="11">
        <v>1750000</v>
      </c>
      <c r="E16" s="12">
        <v>0.066</v>
      </c>
      <c r="F16" s="11">
        <f>D16*E16</f>
      </c>
      <c r="G16" s="11">
        <f>ROUND(-PMT(E16,C16,D16),2)</f>
      </c>
      <c r="H16" s="10" t="s">
        <v>16</v>
      </c>
    </row>
    <row r="17" ht="20" customHeight="1" spans="1:8" x14ac:dyDescent="0.25">
      <c r="A17" s="13" t="s">
        <v>33</v>
      </c>
      <c r="B17" s="13" t="s">
        <v>34</v>
      </c>
      <c r="C17" s="14">
        <v>25</v>
      </c>
      <c r="D17" s="15">
        <v>2900000</v>
      </c>
      <c r="E17" s="16">
        <v>0.057</v>
      </c>
      <c r="F17" s="15">
        <f>D17*E17</f>
      </c>
      <c r="G17" s="15">
        <f>ROUND(-PMT(E17,C17,D17),2)</f>
      </c>
      <c r="H17" s="14" t="s">
        <v>16</v>
      </c>
    </row>
    <row r="18" ht="20" customHeight="1" spans="1:8" x14ac:dyDescent="0.25">
      <c r="A18" s="9" t="s">
        <v>35</v>
      </c>
      <c r="B18" s="9" t="s">
        <v>36</v>
      </c>
      <c r="C18" s="10">
        <v>30</v>
      </c>
      <c r="D18" s="11">
        <v>7400000</v>
      </c>
      <c r="E18" s="12">
        <v>0.052</v>
      </c>
      <c r="F18" s="11">
        <f>D18*E18</f>
      </c>
      <c r="G18" s="11">
        <f>ROUND(-PMT(E18,C18,D18),2)</f>
      </c>
      <c r="H18" s="10" t="s">
        <v>16</v>
      </c>
    </row>
    <row r="19" ht="20" customHeight="1" spans="1:8" x14ac:dyDescent="0.25">
      <c r="A19" s="13" t="s">
        <v>37</v>
      </c>
      <c r="B19" s="13" t="s">
        <v>38</v>
      </c>
      <c r="C19" s="14">
        <v>20</v>
      </c>
      <c r="D19" s="15">
        <v>1650000</v>
      </c>
      <c r="E19" s="16">
        <v>0.063</v>
      </c>
      <c r="F19" s="15">
        <f>D19*E19</f>
      </c>
      <c r="G19" s="15">
        <f>ROUND(-PMT(E19,C19,D19),2)</f>
      </c>
      <c r="H19" s="14" t="s">
        <v>16</v>
      </c>
    </row>
    <row r="20" ht="20" customHeight="1" spans="1:8" x14ac:dyDescent="0.25">
      <c r="A20" s="9" t="s">
        <v>39</v>
      </c>
      <c r="B20" s="9" t="s">
        <v>40</v>
      </c>
      <c r="C20" s="10">
        <v>25</v>
      </c>
      <c r="D20" s="11">
        <v>8500000</v>
      </c>
      <c r="E20" s="12">
        <v>0.054</v>
      </c>
      <c r="F20" s="11">
        <f>D20*E20</f>
      </c>
      <c r="G20" s="11">
        <f>ROUND(-PMT(E20,C20,D20),2)</f>
      </c>
      <c r="H20" s="10" t="s">
        <v>16</v>
      </c>
    </row>
    <row r="21" ht="20" customHeight="1" spans="1:8" x14ac:dyDescent="0.25">
      <c r="A21" s="13" t="s">
        <v>41</v>
      </c>
      <c r="B21" s="13" t="s">
        <v>42</v>
      </c>
      <c r="C21" s="14">
        <v>15</v>
      </c>
      <c r="D21" s="15">
        <v>4900000</v>
      </c>
      <c r="E21" s="16">
        <v>0.06</v>
      </c>
      <c r="F21" s="15">
        <f>D21*E21</f>
      </c>
      <c r="G21" s="15">
        <f>ROUND(-PMT(E21,C21,D21),2)</f>
      </c>
      <c r="H21" s="14" t="s">
        <v>16</v>
      </c>
    </row>
    <row r="22" ht="24" customHeight="1" spans="1:8" x14ac:dyDescent="0.25">
      <c r="A22" s="17" t="s">
        <v>43</v>
      </c>
      <c r="B22" s="17" t="s">
        <v>44</v>
      </c>
      <c r="C22" s="18" t="s">
        <v>44</v>
      </c>
      <c r="D22" s="19">
        <f>SUM(D8:D21)</f>
      </c>
      <c r="E22" s="20">
        <f>AVERAGE(E8:E21)</f>
      </c>
      <c r="F22" s="19">
        <f>SUM(F8:F21)</f>
      </c>
      <c r="G22" s="19">
        <f>SUM(G8:G21)</f>
      </c>
      <c r="H22" s="18" t="s">
        <v>45</v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SmartCents &amp; BizTools Executive Suite</dc:creator>
  <dc:title/>
  <dc:subject/>
  <dc:description/>
  <cp:keywords/>
  <cp:category/>
  <cp:lastModifiedBy>Unknown</cp:lastModifiedBy>
  <dcterms:created xsi:type="dcterms:W3CDTF">2026-10-16T14:50:26Z</dcterms:created>
  <dcterms:modified xsi:type="dcterms:W3CDTF">2026-10-16T14:50:26Z</dcterms:modified>
</cp:coreProperties>
</file>
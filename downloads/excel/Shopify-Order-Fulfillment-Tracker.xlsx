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Model" state="visible" r:id="rId4"/>
  </sheets>
  <calcPr calcId="171027"/>
</workbook>
</file>

<file path=xl/sharedStrings.xml><?xml version="1.0" encoding="utf-8"?>
<sst xmlns="http://schemas.openxmlformats.org/spreadsheetml/2006/main" count="104" uniqueCount="82">
  <si>
    <t>SHOPIFY ORDER DISPATCH, 3PL FULFILLMENT &amp; RETURN LEDGER</t>
  </si>
  <si>
    <t>BizTools Executive Financial &amp; Operations Engine • Automated Dynamic Formulas</t>
  </si>
  <si>
    <t>Total Orders Processed</t>
  </si>
  <si>
    <t>Total Order Value</t>
  </si>
  <si>
    <t>Total Shipping Paid</t>
  </si>
  <si>
    <t>Fulfillment On-Time %</t>
  </si>
  <si>
    <t>Order Number</t>
  </si>
  <si>
    <t>Customer Name</t>
  </si>
  <si>
    <t>Destination State</t>
  </si>
  <si>
    <t>Order Value</t>
  </si>
  <si>
    <t>Carrier Service</t>
  </si>
  <si>
    <t>Tracking Number</t>
  </si>
  <si>
    <t>Shipping Cost</t>
  </si>
  <si>
    <t>Delivery Status</t>
  </si>
  <si>
    <t>#SH-10842</t>
  </si>
  <si>
    <t>Marcus Vance</t>
  </si>
  <si>
    <t>California</t>
  </si>
  <si>
    <t>UPS Ground</t>
  </si>
  <si>
    <t>1Z9999999999999901</t>
  </si>
  <si>
    <t>Delivered</t>
  </si>
  <si>
    <t>#SH-10843</t>
  </si>
  <si>
    <t>Elena Rostova</t>
  </si>
  <si>
    <t>New York</t>
  </si>
  <si>
    <t>USPS Priority</t>
  </si>
  <si>
    <t>940011189956000002</t>
  </si>
  <si>
    <t>#SH-10844</t>
  </si>
  <si>
    <t>Jordan Taylor</t>
  </si>
  <si>
    <t>Texas</t>
  </si>
  <si>
    <t>FedEx Home</t>
  </si>
  <si>
    <t>789123456789000003</t>
  </si>
  <si>
    <t>In Transit</t>
  </si>
  <si>
    <t>#SH-10845</t>
  </si>
  <si>
    <t>Amina El-Amrani</t>
  </si>
  <si>
    <t>Florida</t>
  </si>
  <si>
    <t>USPS Ground</t>
  </si>
  <si>
    <t>940011189956000004</t>
  </si>
  <si>
    <t>#SH-10846</t>
  </si>
  <si>
    <t>Carlos Santana</t>
  </si>
  <si>
    <t>Illinois</t>
  </si>
  <si>
    <t>UPS 2nd Day</t>
  </si>
  <si>
    <t>1Z9999999999999905</t>
  </si>
  <si>
    <t>#SH-10847</t>
  </si>
  <si>
    <t>Chloe Dupont</t>
  </si>
  <si>
    <t>Washington</t>
  </si>
  <si>
    <t>940011189956000006</t>
  </si>
  <si>
    <t>#SH-10848</t>
  </si>
  <si>
    <t>David Kim</t>
  </si>
  <si>
    <t>Georgia</t>
  </si>
  <si>
    <t>FedEx Express</t>
  </si>
  <si>
    <t>789123456789000007</t>
  </si>
  <si>
    <t>Out for Delivery</t>
  </si>
  <si>
    <t>#SH-10849</t>
  </si>
  <si>
    <t>Sarah Jenkins</t>
  </si>
  <si>
    <t>Colorado</t>
  </si>
  <si>
    <t>1Z9999999999999908</t>
  </si>
  <si>
    <t>#SH-10850</t>
  </si>
  <si>
    <t>Tariq Mansour</t>
  </si>
  <si>
    <t>Michigan</t>
  </si>
  <si>
    <t>940011189956000009</t>
  </si>
  <si>
    <t>#SH-10851</t>
  </si>
  <si>
    <t>Rachel Green</t>
  </si>
  <si>
    <t>North Carolina</t>
  </si>
  <si>
    <t>789123456789000010</t>
  </si>
  <si>
    <t>#SH-10852</t>
  </si>
  <si>
    <t>Kevin O'Connor</t>
  </si>
  <si>
    <t>Arizona</t>
  </si>
  <si>
    <t>940011189956000011</t>
  </si>
  <si>
    <t>#SH-10853</t>
  </si>
  <si>
    <t>Yuki Tanaka</t>
  </si>
  <si>
    <t>Oregon</t>
  </si>
  <si>
    <t>1Z9999999999999912</t>
  </si>
  <si>
    <t>#SH-10854</t>
  </si>
  <si>
    <t>Liam Hemsworth</t>
  </si>
  <si>
    <t>Ohio</t>
  </si>
  <si>
    <t>940011189956000013</t>
  </si>
  <si>
    <t>#SH-10855</t>
  </si>
  <si>
    <t>Zoe Kravitz</t>
  </si>
  <si>
    <t>Massachusetts</t>
  </si>
  <si>
    <t>1Z9999999999999914</t>
  </si>
  <si>
    <t>DISPATCH TOTAL</t>
  </si>
  <si>
    <t/>
  </si>
  <si>
    <t>92.8%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</si>
</sst>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94A3B8"/>
      <sz val="9"/>
    </font>
    <font>
      <b/>
      <color rgb="FF64748B"/>
      <sz val="9"/>
    </font>
    <font>
      <b/>
      <color rgb="FF0F172A"/>
      <sz val="12"/>
    </font>
    <font>
      <b/>
      <color rgb="FFFFFFFF"/>
      <sz val="10"/>
    </font>
    <font>
      <color rgb="FF334155"/>
      <sz val="9.5"/>
    </font>
    <font>
      <b/>
      <color rgb="FF0F172A"/>
      <sz val="10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medium">
        <color rgb="FF0F172A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164" fontId="6" fillId="7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164" fontId="6" fillId="4" borderId="2" xfId="0" applyNumberFormat="1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164" fontId="7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5" customWidth="1"/>
    <col min="6" max="6" width="18" customWidth="1"/>
    <col min="7" max="7" width="14" customWidth="1"/>
    <col min="8" max="8" width="16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8" customHeight="1" spans="1:8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ht="24" customHeight="1" spans="1:8" x14ac:dyDescent="0.25">
      <c r="A5" s="4">
        <f>COUNTA(A8:A21)</f>
      </c>
      <c r="B5" s="4"/>
      <c r="C5" s="5">
        <f>SUM(D8:D21)</f>
      </c>
      <c r="D5" s="5"/>
      <c r="E5" s="5">
        <f>SUM(G8:G21)</f>
      </c>
      <c r="F5" s="5"/>
      <c r="G5" s="6">
        <f>COUNTIF(H8:H21,"Delivered")/COUNTA(A8:A21)</f>
      </c>
      <c r="H5" s="6"/>
    </row>
    <row r="7" ht="26" customHeight="1" spans="1:8" x14ac:dyDescent="0.25">
      <c r="A7" s="7" t="s">
        <v>6</v>
      </c>
      <c r="B7" s="8" t="s">
        <v>7</v>
      </c>
      <c r="C7" s="7" t="s">
        <v>8</v>
      </c>
      <c r="D7" s="9" t="s">
        <v>9</v>
      </c>
      <c r="E7" s="8" t="s">
        <v>10</v>
      </c>
      <c r="F7" s="8" t="s">
        <v>11</v>
      </c>
      <c r="G7" s="9" t="s">
        <v>12</v>
      </c>
      <c r="H7" s="7" t="s">
        <v>13</v>
      </c>
    </row>
    <row r="8" ht="20" customHeight="1" spans="1:8" x14ac:dyDescent="0.25">
      <c r="A8" s="10" t="s">
        <v>14</v>
      </c>
      <c r="B8" s="11" t="s">
        <v>15</v>
      </c>
      <c r="C8" s="10" t="s">
        <v>16</v>
      </c>
      <c r="D8" s="12">
        <v>142.5</v>
      </c>
      <c r="E8" s="11" t="s">
        <v>17</v>
      </c>
      <c r="F8" s="11" t="s">
        <v>18</v>
      </c>
      <c r="G8" s="12">
        <v>9.85</v>
      </c>
      <c r="H8" s="10" t="s">
        <v>19</v>
      </c>
    </row>
    <row r="9" ht="20" customHeight="1" spans="1:8" x14ac:dyDescent="0.25">
      <c r="A9" s="13" t="s">
        <v>20</v>
      </c>
      <c r="B9" s="14" t="s">
        <v>21</v>
      </c>
      <c r="C9" s="13" t="s">
        <v>22</v>
      </c>
      <c r="D9" s="15">
        <v>89</v>
      </c>
      <c r="E9" s="14" t="s">
        <v>23</v>
      </c>
      <c r="F9" s="14" t="s">
        <v>24</v>
      </c>
      <c r="G9" s="15">
        <v>8.2</v>
      </c>
      <c r="H9" s="13" t="s">
        <v>19</v>
      </c>
    </row>
    <row r="10" ht="20" customHeight="1" spans="1:8" x14ac:dyDescent="0.25">
      <c r="A10" s="10" t="s">
        <v>25</v>
      </c>
      <c r="B10" s="11" t="s">
        <v>26</v>
      </c>
      <c r="C10" s="10" t="s">
        <v>27</v>
      </c>
      <c r="D10" s="12">
        <v>215.4</v>
      </c>
      <c r="E10" s="11" t="s">
        <v>28</v>
      </c>
      <c r="F10" s="11" t="s">
        <v>29</v>
      </c>
      <c r="G10" s="12">
        <v>12.5</v>
      </c>
      <c r="H10" s="10" t="s">
        <v>30</v>
      </c>
    </row>
    <row r="11" ht="20" customHeight="1" spans="1:8" x14ac:dyDescent="0.25">
      <c r="A11" s="13" t="s">
        <v>31</v>
      </c>
      <c r="B11" s="14" t="s">
        <v>32</v>
      </c>
      <c r="C11" s="13" t="s">
        <v>33</v>
      </c>
      <c r="D11" s="15">
        <v>64.95</v>
      </c>
      <c r="E11" s="14" t="s">
        <v>34</v>
      </c>
      <c r="F11" s="14" t="s">
        <v>35</v>
      </c>
      <c r="G11" s="15">
        <v>6.4</v>
      </c>
      <c r="H11" s="13" t="s">
        <v>19</v>
      </c>
    </row>
    <row r="12" ht="20" customHeight="1" spans="1:8" x14ac:dyDescent="0.25">
      <c r="A12" s="10" t="s">
        <v>36</v>
      </c>
      <c r="B12" s="11" t="s">
        <v>37</v>
      </c>
      <c r="C12" s="10" t="s">
        <v>38</v>
      </c>
      <c r="D12" s="12">
        <v>178</v>
      </c>
      <c r="E12" s="11" t="s">
        <v>39</v>
      </c>
      <c r="F12" s="11" t="s">
        <v>40</v>
      </c>
      <c r="G12" s="12">
        <v>18.2</v>
      </c>
      <c r="H12" s="10" t="s">
        <v>19</v>
      </c>
    </row>
    <row r="13" ht="20" customHeight="1" spans="1:8" x14ac:dyDescent="0.25">
      <c r="A13" s="13" t="s">
        <v>41</v>
      </c>
      <c r="B13" s="14" t="s">
        <v>42</v>
      </c>
      <c r="C13" s="13" t="s">
        <v>43</v>
      </c>
      <c r="D13" s="15">
        <v>95.2</v>
      </c>
      <c r="E13" s="14" t="s">
        <v>23</v>
      </c>
      <c r="F13" s="14" t="s">
        <v>44</v>
      </c>
      <c r="G13" s="15">
        <v>8.6</v>
      </c>
      <c r="H13" s="13" t="s">
        <v>19</v>
      </c>
    </row>
    <row r="14" ht="20" customHeight="1" spans="1:8" x14ac:dyDescent="0.25">
      <c r="A14" s="10" t="s">
        <v>45</v>
      </c>
      <c r="B14" s="11" t="s">
        <v>46</v>
      </c>
      <c r="C14" s="10" t="s">
        <v>47</v>
      </c>
      <c r="D14" s="12">
        <v>310</v>
      </c>
      <c r="E14" s="11" t="s">
        <v>48</v>
      </c>
      <c r="F14" s="11" t="s">
        <v>49</v>
      </c>
      <c r="G14" s="12">
        <v>24.5</v>
      </c>
      <c r="H14" s="10" t="s">
        <v>50</v>
      </c>
    </row>
    <row r="15" ht="20" customHeight="1" spans="1:8" x14ac:dyDescent="0.25">
      <c r="A15" s="13" t="s">
        <v>51</v>
      </c>
      <c r="B15" s="14" t="s">
        <v>52</v>
      </c>
      <c r="C15" s="13" t="s">
        <v>53</v>
      </c>
      <c r="D15" s="15">
        <v>125.8</v>
      </c>
      <c r="E15" s="14" t="s">
        <v>17</v>
      </c>
      <c r="F15" s="14" t="s">
        <v>54</v>
      </c>
      <c r="G15" s="15">
        <v>10.4</v>
      </c>
      <c r="H15" s="13" t="s">
        <v>19</v>
      </c>
    </row>
    <row r="16" ht="20" customHeight="1" spans="1:8" x14ac:dyDescent="0.25">
      <c r="A16" s="10" t="s">
        <v>55</v>
      </c>
      <c r="B16" s="11" t="s">
        <v>56</v>
      </c>
      <c r="C16" s="10" t="s">
        <v>57</v>
      </c>
      <c r="D16" s="12">
        <v>79.5</v>
      </c>
      <c r="E16" s="11" t="s">
        <v>34</v>
      </c>
      <c r="F16" s="11" t="s">
        <v>58</v>
      </c>
      <c r="G16" s="12">
        <v>6.8</v>
      </c>
      <c r="H16" s="10" t="s">
        <v>19</v>
      </c>
    </row>
    <row r="17" ht="20" customHeight="1" spans="1:8" x14ac:dyDescent="0.25">
      <c r="A17" s="13" t="s">
        <v>59</v>
      </c>
      <c r="B17" s="14" t="s">
        <v>60</v>
      </c>
      <c r="C17" s="13" t="s">
        <v>61</v>
      </c>
      <c r="D17" s="15">
        <v>190</v>
      </c>
      <c r="E17" s="14" t="s">
        <v>28</v>
      </c>
      <c r="F17" s="14" t="s">
        <v>62</v>
      </c>
      <c r="G17" s="15">
        <v>11.9</v>
      </c>
      <c r="H17" s="13" t="s">
        <v>19</v>
      </c>
    </row>
    <row r="18" ht="20" customHeight="1" spans="1:8" x14ac:dyDescent="0.25">
      <c r="A18" s="10" t="s">
        <v>63</v>
      </c>
      <c r="B18" s="11" t="s">
        <v>64</v>
      </c>
      <c r="C18" s="10" t="s">
        <v>65</v>
      </c>
      <c r="D18" s="12">
        <v>112.4</v>
      </c>
      <c r="E18" s="11" t="s">
        <v>23</v>
      </c>
      <c r="F18" s="11" t="s">
        <v>66</v>
      </c>
      <c r="G18" s="12">
        <v>8.9</v>
      </c>
      <c r="H18" s="10" t="s">
        <v>19</v>
      </c>
    </row>
    <row r="19" ht="20" customHeight="1" spans="1:8" x14ac:dyDescent="0.25">
      <c r="A19" s="13" t="s">
        <v>67</v>
      </c>
      <c r="B19" s="14" t="s">
        <v>68</v>
      </c>
      <c r="C19" s="13" t="s">
        <v>69</v>
      </c>
      <c r="D19" s="15">
        <v>245</v>
      </c>
      <c r="E19" s="14" t="s">
        <v>17</v>
      </c>
      <c r="F19" s="14" t="s">
        <v>70</v>
      </c>
      <c r="G19" s="15">
        <v>11.2</v>
      </c>
      <c r="H19" s="13" t="s">
        <v>30</v>
      </c>
    </row>
    <row r="20" ht="20" customHeight="1" spans="1:8" x14ac:dyDescent="0.25">
      <c r="A20" s="10" t="s">
        <v>71</v>
      </c>
      <c r="B20" s="11" t="s">
        <v>72</v>
      </c>
      <c r="C20" s="10" t="s">
        <v>73</v>
      </c>
      <c r="D20" s="12">
        <v>85</v>
      </c>
      <c r="E20" s="11" t="s">
        <v>34</v>
      </c>
      <c r="F20" s="11" t="s">
        <v>74</v>
      </c>
      <c r="G20" s="12">
        <v>6.9</v>
      </c>
      <c r="H20" s="10" t="s">
        <v>19</v>
      </c>
    </row>
    <row r="21" ht="20" customHeight="1" spans="1:8" x14ac:dyDescent="0.25">
      <c r="A21" s="13" t="s">
        <v>75</v>
      </c>
      <c r="B21" s="14" t="s">
        <v>76</v>
      </c>
      <c r="C21" s="13" t="s">
        <v>77</v>
      </c>
      <c r="D21" s="15">
        <v>168</v>
      </c>
      <c r="E21" s="14" t="s">
        <v>39</v>
      </c>
      <c r="F21" s="14" t="s">
        <v>78</v>
      </c>
      <c r="G21" s="15">
        <v>17.5</v>
      </c>
      <c r="H21" s="13" t="s">
        <v>19</v>
      </c>
    </row>
    <row r="22" ht="24" customHeight="1" spans="1:8" x14ac:dyDescent="0.25">
      <c r="A22" s="16" t="s">
        <v>79</v>
      </c>
      <c r="B22" s="17" t="s">
        <v>80</v>
      </c>
      <c r="C22" s="16" t="s">
        <v>80</v>
      </c>
      <c r="D22" s="18">
        <f>SUM(D8:D21)</f>
      </c>
      <c r="E22" s="17" t="s">
        <v>80</v>
      </c>
      <c r="F22" s="17" t="s">
        <v>80</v>
      </c>
      <c r="G22" s="18">
        <f>SUM(G8:G21)</f>
      </c>
      <c r="H22" s="16" t="s">
        <v>81</v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&amp;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SmartCents &amp; BizTools Executive Suite</dc:creator>
  <dc:title/>
  <dc:subject/>
  <dc:description/>
  <cp:keywords/>
  <cp:category/>
  <cp:lastModifiedBy>Unknown</cp:lastModifiedBy>
  <dcterms:created xsi:type="dcterms:W3CDTF">2026-10-16T14:50:26Z</dcterms:created>
  <dcterms:modified xsi:type="dcterms:W3CDTF">2026-10-16T14:50:26Z</dcterms:modified>
</cp:coreProperties>
</file>
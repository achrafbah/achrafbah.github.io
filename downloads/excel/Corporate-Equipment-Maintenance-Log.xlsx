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<sst xmlns="http://schemas.openxmlformats.org/spreadsheetml/2006/main" count="119" uniqueCount="84">
  <si>
    <t>INDUSTRIAL &amp; CORPORATE EQUIPMENT MAINTENANCE (GMAO) LOGBOOK</t>
  </si>
  <si>
    <t>BizTools Executive Financial &amp; Operations Engine • Automated Dynamic Formulas</t>
  </si>
  <si>
    <t>Total Tracked Assets</t>
  </si>
  <si>
    <t>YTD Maintenance Cost</t>
  </si>
  <si>
    <t>Operational Health %</t>
  </si>
  <si>
    <t>Overdue Inspections</t>
  </si>
  <si>
    <t>Asset Tag ID</t>
  </si>
  <si>
    <t>Equipment Name</t>
  </si>
  <si>
    <t>Location / Line</t>
  </si>
  <si>
    <t>Service Interval</t>
  </si>
  <si>
    <t>Last Service Date</t>
  </si>
  <si>
    <t>YTD Service Cost</t>
  </si>
  <si>
    <t>Machine Status</t>
  </si>
  <si>
    <t>Inspection Health</t>
  </si>
  <si>
    <t>EQ-3001</t>
  </si>
  <si>
    <t>CNC Milling Machine 5-Axis</t>
  </si>
  <si>
    <t>Plant Floor Line 1</t>
  </si>
  <si>
    <t>Monthly</t>
  </si>
  <si>
    <t>2026-10-02</t>
  </si>
  <si>
    <t>Operational</t>
  </si>
  <si>
    <t>Good Standing</t>
  </si>
  <si>
    <t>EQ-3002</t>
  </si>
  <si>
    <t>Hydraulic Press 200T</t>
  </si>
  <si>
    <t>Stamping Bay</t>
  </si>
  <si>
    <t>Quarterly</t>
  </si>
  <si>
    <t>2026-09-15</t>
  </si>
  <si>
    <t>EQ-3003</t>
  </si>
  <si>
    <t>Automated Packaging Line</t>
  </si>
  <si>
    <t>Packaging Hub</t>
  </si>
  <si>
    <t>Bi-Weekly</t>
  </si>
  <si>
    <t>2026-10-10</t>
  </si>
  <si>
    <t>EQ-3004</t>
  </si>
  <si>
    <t>Air Compressor Rotary 50HP</t>
  </si>
  <si>
    <t>Utility Room A</t>
  </si>
  <si>
    <t>2026-08-20</t>
  </si>
  <si>
    <t>Degraded</t>
  </si>
  <si>
    <t>Action Required</t>
  </si>
  <si>
    <t>EQ-3005</t>
  </si>
  <si>
    <t>Electric Forklift 5000lb</t>
  </si>
  <si>
    <t>Warehouse Zone B</t>
  </si>
  <si>
    <t>2026-10-05</t>
  </si>
  <si>
    <t>EQ-3006</t>
  </si>
  <si>
    <t>SMT Pick-and-Place Robot</t>
  </si>
  <si>
    <t>Cleanroom Line 3</t>
  </si>
  <si>
    <t>2026-10-08</t>
  </si>
  <si>
    <t>EQ-3007</t>
  </si>
  <si>
    <t>Reflow Soldering Oven</t>
  </si>
  <si>
    <t>2026-09-18</t>
  </si>
  <si>
    <t>EQ-3008</t>
  </si>
  <si>
    <t>Industrial Chiller 100-Ton</t>
  </si>
  <si>
    <t>HVAC Roof Bay</t>
  </si>
  <si>
    <t>2026-07-15</t>
  </si>
  <si>
    <t>Under Repair</t>
  </si>
  <si>
    <t>EQ-3009</t>
  </si>
  <si>
    <t>Laser Cutting System 6kW</t>
  </si>
  <si>
    <t>Fabrication Shop</t>
  </si>
  <si>
    <t>2026-10-12</t>
  </si>
  <si>
    <t>EQ-3010</t>
  </si>
  <si>
    <t>Injection Molding Machine</t>
  </si>
  <si>
    <t>Plastics Line 2</t>
  </si>
  <si>
    <t>2026-10-01</t>
  </si>
  <si>
    <t>EQ-3011</t>
  </si>
  <si>
    <t>Robotic Welding Arm</t>
  </si>
  <si>
    <t>Assembly Cell 4</t>
  </si>
  <si>
    <t>2026-09-28</t>
  </si>
  <si>
    <t>EQ-3012</t>
  </si>
  <si>
    <t>Backup Diesel Generator 500kW</t>
  </si>
  <si>
    <t>Power Substation</t>
  </si>
  <si>
    <t>Annual</t>
  </si>
  <si>
    <t>2026-06-10</t>
  </si>
  <si>
    <t>EQ-3013</t>
  </si>
  <si>
    <t>Automated Conveyor Loop</t>
  </si>
  <si>
    <t>Sorting Center</t>
  </si>
  <si>
    <t>2026-10-11</t>
  </si>
  <si>
    <t>EQ-3014</t>
  </si>
  <si>
    <t>Spectrometer Lab Analyzer</t>
  </si>
  <si>
    <t>Quality Control Lab</t>
  </si>
  <si>
    <t>Semi-Annual</t>
  </si>
  <si>
    <t>2026-08-01</t>
  </si>
  <si>
    <t>GMAO TOTAL</t>
  </si>
  <si>
    <t/>
  </si>
  <si>
    <t>14 Production Units</t>
  </si>
  <si>
    <t>85.7% Uptime</t>
  </si>
  <si>
    <t>2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</si>
</sst>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164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4" customWidth="1"/>
    <col min="2" max="2" width="22" customWidth="1"/>
    <col min="3" max="7" width="16" customWidth="1"/>
    <col min="8" max="8" width="18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COUNTA(A8:A21)</f>
      </c>
      <c r="B5" s="4"/>
      <c r="C5" s="5">
        <f>SUM(F8:F21)</f>
      </c>
      <c r="D5" s="5"/>
      <c r="E5" s="6">
        <f>COUNTIF(G8:G21,"Operational")/COUNTA(A8:A21)</f>
      </c>
      <c r="F5" s="6"/>
      <c r="G5" s="7">
        <f>COUNTIF(H8:H21,"Action Required")</f>
      </c>
      <c r="H5" s="7"/>
    </row>
    <row r="7" ht="26" customHeight="1" spans="1:8" x14ac:dyDescent="0.25">
      <c r="A7" s="8" t="s">
        <v>6</v>
      </c>
      <c r="B7" s="9" t="s">
        <v>7</v>
      </c>
      <c r="C7" s="9" t="s">
        <v>8</v>
      </c>
      <c r="D7" s="8" t="s">
        <v>9</v>
      </c>
      <c r="E7" s="8" t="s">
        <v>10</v>
      </c>
      <c r="F7" s="10" t="s">
        <v>11</v>
      </c>
      <c r="G7" s="8" t="s">
        <v>12</v>
      </c>
      <c r="H7" s="8" t="s">
        <v>13</v>
      </c>
    </row>
    <row r="8" ht="20" customHeight="1" spans="1:8" x14ac:dyDescent="0.25">
      <c r="A8" s="11" t="s">
        <v>14</v>
      </c>
      <c r="B8" s="12" t="s">
        <v>15</v>
      </c>
      <c r="C8" s="12" t="s">
        <v>16</v>
      </c>
      <c r="D8" s="11" t="s">
        <v>17</v>
      </c>
      <c r="E8" s="11" t="s">
        <v>18</v>
      </c>
      <c r="F8" s="13">
        <v>4200</v>
      </c>
      <c r="G8" s="11" t="s">
        <v>19</v>
      </c>
      <c r="H8" s="11" t="s">
        <v>20</v>
      </c>
    </row>
    <row r="9" ht="20" customHeight="1" spans="1:8" x14ac:dyDescent="0.25">
      <c r="A9" s="14" t="s">
        <v>21</v>
      </c>
      <c r="B9" s="15" t="s">
        <v>22</v>
      </c>
      <c r="C9" s="15" t="s">
        <v>23</v>
      </c>
      <c r="D9" s="14" t="s">
        <v>24</v>
      </c>
      <c r="E9" s="14" t="s">
        <v>25</v>
      </c>
      <c r="F9" s="16">
        <v>3100</v>
      </c>
      <c r="G9" s="14" t="s">
        <v>19</v>
      </c>
      <c r="H9" s="14" t="s">
        <v>20</v>
      </c>
    </row>
    <row r="10" ht="20" customHeight="1" spans="1:8" x14ac:dyDescent="0.25">
      <c r="A10" s="11" t="s">
        <v>26</v>
      </c>
      <c r="B10" s="12" t="s">
        <v>27</v>
      </c>
      <c r="C10" s="12" t="s">
        <v>28</v>
      </c>
      <c r="D10" s="11" t="s">
        <v>29</v>
      </c>
      <c r="E10" s="11" t="s">
        <v>30</v>
      </c>
      <c r="F10" s="13">
        <v>5800</v>
      </c>
      <c r="G10" s="11" t="s">
        <v>19</v>
      </c>
      <c r="H10" s="11" t="s">
        <v>20</v>
      </c>
    </row>
    <row r="11" ht="20" customHeight="1" spans="1:8" x14ac:dyDescent="0.25">
      <c r="A11" s="14" t="s">
        <v>31</v>
      </c>
      <c r="B11" s="15" t="s">
        <v>32</v>
      </c>
      <c r="C11" s="15" t="s">
        <v>33</v>
      </c>
      <c r="D11" s="14" t="s">
        <v>24</v>
      </c>
      <c r="E11" s="14" t="s">
        <v>34</v>
      </c>
      <c r="F11" s="16">
        <v>1850</v>
      </c>
      <c r="G11" s="14" t="s">
        <v>35</v>
      </c>
      <c r="H11" s="14" t="s">
        <v>36</v>
      </c>
    </row>
    <row r="12" ht="20" customHeight="1" spans="1:8" x14ac:dyDescent="0.25">
      <c r="A12" s="11" t="s">
        <v>37</v>
      </c>
      <c r="B12" s="12" t="s">
        <v>38</v>
      </c>
      <c r="C12" s="12" t="s">
        <v>39</v>
      </c>
      <c r="D12" s="11" t="s">
        <v>17</v>
      </c>
      <c r="E12" s="11" t="s">
        <v>40</v>
      </c>
      <c r="F12" s="13">
        <v>1200</v>
      </c>
      <c r="G12" s="11" t="s">
        <v>19</v>
      </c>
      <c r="H12" s="11" t="s">
        <v>20</v>
      </c>
    </row>
    <row r="13" ht="20" customHeight="1" spans="1:8" x14ac:dyDescent="0.25">
      <c r="A13" s="14" t="s">
        <v>41</v>
      </c>
      <c r="B13" s="15" t="s">
        <v>42</v>
      </c>
      <c r="C13" s="15" t="s">
        <v>43</v>
      </c>
      <c r="D13" s="14" t="s">
        <v>17</v>
      </c>
      <c r="E13" s="14" t="s">
        <v>44</v>
      </c>
      <c r="F13" s="16">
        <v>6400</v>
      </c>
      <c r="G13" s="14" t="s">
        <v>19</v>
      </c>
      <c r="H13" s="14" t="s">
        <v>20</v>
      </c>
    </row>
    <row r="14" ht="20" customHeight="1" spans="1:8" x14ac:dyDescent="0.25">
      <c r="A14" s="11" t="s">
        <v>45</v>
      </c>
      <c r="B14" s="12" t="s">
        <v>46</v>
      </c>
      <c r="C14" s="12" t="s">
        <v>43</v>
      </c>
      <c r="D14" s="11" t="s">
        <v>24</v>
      </c>
      <c r="E14" s="11" t="s">
        <v>47</v>
      </c>
      <c r="F14" s="13">
        <v>2900</v>
      </c>
      <c r="G14" s="11" t="s">
        <v>19</v>
      </c>
      <c r="H14" s="11" t="s">
        <v>20</v>
      </c>
    </row>
    <row r="15" ht="20" customHeight="1" spans="1:8" x14ac:dyDescent="0.25">
      <c r="A15" s="14" t="s">
        <v>48</v>
      </c>
      <c r="B15" s="15" t="s">
        <v>49</v>
      </c>
      <c r="C15" s="15" t="s">
        <v>50</v>
      </c>
      <c r="D15" s="14" t="s">
        <v>24</v>
      </c>
      <c r="E15" s="14" t="s">
        <v>51</v>
      </c>
      <c r="F15" s="16">
        <v>4100</v>
      </c>
      <c r="G15" s="14" t="s">
        <v>52</v>
      </c>
      <c r="H15" s="14" t="s">
        <v>36</v>
      </c>
    </row>
    <row r="16" ht="20" customHeight="1" spans="1:8" x14ac:dyDescent="0.25">
      <c r="A16" s="11" t="s">
        <v>53</v>
      </c>
      <c r="B16" s="12" t="s">
        <v>54</v>
      </c>
      <c r="C16" s="12" t="s">
        <v>55</v>
      </c>
      <c r="D16" s="11" t="s">
        <v>29</v>
      </c>
      <c r="E16" s="11" t="s">
        <v>56</v>
      </c>
      <c r="F16" s="13">
        <v>7200</v>
      </c>
      <c r="G16" s="11" t="s">
        <v>19</v>
      </c>
      <c r="H16" s="11" t="s">
        <v>20</v>
      </c>
    </row>
    <row r="17" ht="20" customHeight="1" spans="1:8" x14ac:dyDescent="0.25">
      <c r="A17" s="14" t="s">
        <v>57</v>
      </c>
      <c r="B17" s="15" t="s">
        <v>58</v>
      </c>
      <c r="C17" s="15" t="s">
        <v>59</v>
      </c>
      <c r="D17" s="14" t="s">
        <v>17</v>
      </c>
      <c r="E17" s="14" t="s">
        <v>60</v>
      </c>
      <c r="F17" s="16">
        <v>5100</v>
      </c>
      <c r="G17" s="14" t="s">
        <v>19</v>
      </c>
      <c r="H17" s="14" t="s">
        <v>20</v>
      </c>
    </row>
    <row r="18" ht="20" customHeight="1" spans="1:8" x14ac:dyDescent="0.25">
      <c r="A18" s="11" t="s">
        <v>61</v>
      </c>
      <c r="B18" s="12" t="s">
        <v>62</v>
      </c>
      <c r="C18" s="12" t="s">
        <v>63</v>
      </c>
      <c r="D18" s="11" t="s">
        <v>17</v>
      </c>
      <c r="E18" s="11" t="s">
        <v>64</v>
      </c>
      <c r="F18" s="13">
        <v>3800</v>
      </c>
      <c r="G18" s="11" t="s">
        <v>19</v>
      </c>
      <c r="H18" s="11" t="s">
        <v>20</v>
      </c>
    </row>
    <row r="19" ht="20" customHeight="1" spans="1:8" x14ac:dyDescent="0.25">
      <c r="A19" s="14" t="s">
        <v>65</v>
      </c>
      <c r="B19" s="15" t="s">
        <v>66</v>
      </c>
      <c r="C19" s="15" t="s">
        <v>67</v>
      </c>
      <c r="D19" s="14" t="s">
        <v>68</v>
      </c>
      <c r="E19" s="14" t="s">
        <v>69</v>
      </c>
      <c r="F19" s="16">
        <v>2400</v>
      </c>
      <c r="G19" s="14" t="s">
        <v>19</v>
      </c>
      <c r="H19" s="14" t="s">
        <v>20</v>
      </c>
    </row>
    <row r="20" ht="20" customHeight="1" spans="1:8" x14ac:dyDescent="0.25">
      <c r="A20" s="11" t="s">
        <v>70</v>
      </c>
      <c r="B20" s="12" t="s">
        <v>71</v>
      </c>
      <c r="C20" s="12" t="s">
        <v>72</v>
      </c>
      <c r="D20" s="11" t="s">
        <v>29</v>
      </c>
      <c r="E20" s="11" t="s">
        <v>73</v>
      </c>
      <c r="F20" s="13">
        <v>2700</v>
      </c>
      <c r="G20" s="11" t="s">
        <v>19</v>
      </c>
      <c r="H20" s="11" t="s">
        <v>20</v>
      </c>
    </row>
    <row r="21" ht="20" customHeight="1" spans="1:8" x14ac:dyDescent="0.25">
      <c r="A21" s="14" t="s">
        <v>74</v>
      </c>
      <c r="B21" s="15" t="s">
        <v>75</v>
      </c>
      <c r="C21" s="15" t="s">
        <v>76</v>
      </c>
      <c r="D21" s="14" t="s">
        <v>77</v>
      </c>
      <c r="E21" s="14" t="s">
        <v>78</v>
      </c>
      <c r="F21" s="16">
        <v>1900</v>
      </c>
      <c r="G21" s="14" t="s">
        <v>19</v>
      </c>
      <c r="H21" s="14" t="s">
        <v>20</v>
      </c>
    </row>
    <row r="22" ht="24" customHeight="1" spans="1:8" x14ac:dyDescent="0.25">
      <c r="A22" s="17" t="s">
        <v>79</v>
      </c>
      <c r="B22" s="18" t="s">
        <v>80</v>
      </c>
      <c r="C22" s="18" t="s">
        <v>81</v>
      </c>
      <c r="D22" s="17" t="s">
        <v>80</v>
      </c>
      <c r="E22" s="17" t="s">
        <v>80</v>
      </c>
      <c r="F22" s="19">
        <f>SUM(F8:F21)</f>
      </c>
      <c r="G22" s="17" t="s">
        <v>82</v>
      </c>
      <c r="H22" s="17" t="s">
        <v>83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2026-10-16T14:50:27Z</dcterms:created>
  <dcterms:modified xsi:type="dcterms:W3CDTF">2026-10-16T14:50:27Z</dcterms:modified>
</cp:coreProperties>
</file>
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AS &amp; Pricing Matrix" state="visible" r:id="rId4"/>
  </sheets>
  <calcPr calcId="171027"/>
</workbook>
</file>

<file path=xl/sharedStrings.xml><?xml version="1.0" encoding="utf-8"?>
<sst xmlns="http://schemas.openxmlformats.org/spreadsheetml/2006/main" count="64" uniqueCount="63">
  <si>
    <t>E-COMMERCE PRODUCT PRICING, LANDED COGS &amp; BREAK-EVEN ROAS CALCULATOR</t>
  </si>
  <si>
    <t>Unit Economics, Landed Cost, Target CPA, Break-Even ROAS &amp; Net Profit Margin Model</t>
  </si>
  <si>
    <t>AVG SELLING PRICE (AOV)</t>
  </si>
  <si>
    <t>AVG GROSS MARGIN %</t>
  </si>
  <si>
    <t>PORTFOLIO BREAK-EVEN ROAS</t>
  </si>
  <si>
    <t>AVG NET PROFIT / UNIT</t>
  </si>
  <si>
    <t>PROFITABLE SKUS</t>
  </si>
  <si>
    <t>SKU Code</t>
  </si>
  <si>
    <t>Product Name</t>
  </si>
  <si>
    <t>Category</t>
  </si>
  <si>
    <t>Retail Price ($)</t>
  </si>
  <si>
    <t>Unit COGS ($)</t>
  </si>
  <si>
    <t>Shipping &amp; 3PL ($)</t>
  </si>
  <si>
    <t>Payment Fee (2.9%+$0.30)</t>
  </si>
  <si>
    <t>Total Landed Cost ($)</t>
  </si>
  <si>
    <t>Gross Profit ($)</t>
  </si>
  <si>
    <t>Gross Margin %</t>
  </si>
  <si>
    <t>Break-Even ROAS</t>
  </si>
  <si>
    <t>Actual Ad CPA ($)</t>
  </si>
  <si>
    <t>Net Profit / Unit ($)</t>
  </si>
  <si>
    <t>Pricing Status</t>
  </si>
  <si>
    <t>SKU-101</t>
  </si>
  <si>
    <t>AeroFit Pro Massage Gun</t>
  </si>
  <si>
    <t>Fitness</t>
  </si>
  <si>
    <t>SKU-102</t>
  </si>
  <si>
    <t>LumiGlow LED Therapy Mask</t>
  </si>
  <si>
    <t>Beauty</t>
  </si>
  <si>
    <t>SKU-103</t>
  </si>
  <si>
    <t>Nordic Brew Pour-Over Kettle</t>
  </si>
  <si>
    <t>Home &amp; Kitchen</t>
  </si>
  <si>
    <t>SKU-104</t>
  </si>
  <si>
    <t>ErgoCloud Memory Foam Pillow</t>
  </si>
  <si>
    <t>Sleep</t>
  </si>
  <si>
    <t>SKU-105</t>
  </si>
  <si>
    <t>Titanium MagSafe Travel Charger</t>
  </si>
  <si>
    <t>Tech Accessories</t>
  </si>
  <si>
    <t>SKU-106</t>
  </si>
  <si>
    <t>Pure Pet Automatic Smart Feeder</t>
  </si>
  <si>
    <t>Pet Care</t>
  </si>
  <si>
    <t>SKU-107</t>
  </si>
  <si>
    <t>Zenith Cold Plunge Chiller Pod</t>
  </si>
  <si>
    <t>Wellness</t>
  </si>
  <si>
    <t>SKU-108</t>
  </si>
  <si>
    <t>Botanica Matcha Starter Kit</t>
  </si>
  <si>
    <t>Food &amp; Bev</t>
  </si>
  <si>
    <t>SKU-109</t>
  </si>
  <si>
    <t>Apex Carbon Fiber Trekking Poles</t>
  </si>
  <si>
    <t>Outdoors</t>
  </si>
  <si>
    <t>SKU-110</t>
  </si>
  <si>
    <t>Veloce Polarized Cycling Glasses</t>
  </si>
  <si>
    <t>Apparel</t>
  </si>
  <si>
    <t>SKU-111</t>
  </si>
  <si>
    <t>SonicClean UV Toothbrush Sanitizer</t>
  </si>
  <si>
    <t>Personal Care</t>
  </si>
  <si>
    <t>SKU-112</t>
  </si>
  <si>
    <t>HydroFlask Insulated Dog Bowl</t>
  </si>
  <si>
    <t>SKU-113</t>
  </si>
  <si>
    <t>SmartPosture Wearable Trainer</t>
  </si>
  <si>
    <t>Health Tech</t>
  </si>
  <si>
    <t>SKU-114</t>
  </si>
  <si>
    <t>AcoustiPod Studio Desk Mat</t>
  </si>
  <si>
    <t>Home Office</t>
  </si>
  <si>
    <t>PORTFOLIO TOTAL /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</si>
</sst>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0.0%"/>
    <numFmt numFmtId="166" formatCode="0.00&quot;x&quot;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4F46E5"/>
      <sz val="13"/>
      <name val="Segoe UI"/>
    </font>
    <font>
      <b/>
      <color rgb="FF059669"/>
      <sz val="13"/>
      <name val="Segoe UI"/>
    </font>
    <font>
      <b/>
      <color rgb="FFD97706"/>
      <sz val="13"/>
      <name val="Segoe UI"/>
    </font>
    <font>
      <b/>
      <color rgb="FF2563EB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4F46E5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/>
    </xf>
    <xf numFmtId="164" fontId="9" fillId="5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166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164" fontId="9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164" fontId="11" fillId="4" borderId="4" xfId="0" applyNumberFormat="1" applyFont="1" applyFill="1" applyBorder="1"/>
    <xf numFmtId="165" fontId="11" fillId="4" borderId="4" xfId="0" applyNumberFormat="1" applyFont="1" applyFill="1" applyBorder="1"/>
    <xf numFmtId="166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4" customWidth="1"/>
    <col min="3" max="4" width="20" customWidth="1"/>
    <col min="5" max="5" width="17" customWidth="1"/>
    <col min="6" max="6" width="22" customWidth="1"/>
    <col min="7" max="7" width="28" customWidth="1"/>
    <col min="8" max="8" width="25" customWidth="1"/>
    <col min="9" max="9" width="20" customWidth="1"/>
    <col min="10" max="10" width="18" customWidth="1"/>
    <col min="11" max="11" width="19" customWidth="1"/>
    <col min="12" max="12" width="21" customWidth="1"/>
    <col min="13" max="13" width="25" customWidth="1"/>
    <col min="14" max="14" width="18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0" customHeight="1" x14ac:dyDescent="0.25"/>
    <row r="4" ht="18" customHeight="1" spans="1:14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</row>
    <row r="5" ht="28" customHeight="1" spans="1:14" x14ac:dyDescent="0.25">
      <c r="A5" s="4">
        <f>AVERAGE(D8:D21)</f>
      </c>
      <c r="B5" s="4"/>
      <c r="C5" s="4"/>
      <c r="D5" s="5">
        <f>AVERAGE(J8:J21)</f>
      </c>
      <c r="E5" s="5"/>
      <c r="F5" s="5"/>
      <c r="G5" s="6">
        <f>AVERAGE(K8:K21)</f>
      </c>
      <c r="H5" s="6"/>
      <c r="I5" s="6"/>
      <c r="J5" s="7">
        <f>AVERAGE(M8:M21)</f>
      </c>
      <c r="K5" s="7"/>
      <c r="L5" s="7"/>
      <c r="M5" s="8">
        <f>COUNTIF(N8:N21,"SCALE")</f>
      </c>
      <c r="N5" s="8"/>
    </row>
    <row r="6" ht="10" customHeight="1" x14ac:dyDescent="0.25"/>
    <row r="7" ht="26" customHeight="1" spans="1:14" x14ac:dyDescent="0.25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  <c r="N7" s="10" t="s">
        <v>20</v>
      </c>
    </row>
    <row r="8" ht="20" customHeight="1" spans="1:14" x14ac:dyDescent="0.25">
      <c r="A8" s="11" t="s">
        <v>21</v>
      </c>
      <c r="B8" s="11" t="s">
        <v>22</v>
      </c>
      <c r="C8" s="11" t="s">
        <v>23</v>
      </c>
      <c r="D8" s="12">
        <v>149</v>
      </c>
      <c r="E8" s="12">
        <v>32.5</v>
      </c>
      <c r="F8" s="12">
        <v>9.8</v>
      </c>
      <c r="G8" s="12">
        <f>ROUND(D8*0.029+0.30, 2)</f>
      </c>
      <c r="H8" s="12">
        <f>SUM(E8:G8)</f>
      </c>
      <c r="I8" s="12">
        <f>D8-H8</f>
      </c>
      <c r="J8" s="13">
        <f>IF(D8&gt;0, I8/D8, 0)</f>
      </c>
      <c r="K8" s="14">
        <f>IF(I8&gt;0, D8/I8, 0)</f>
      </c>
      <c r="L8" s="12">
        <v>28</v>
      </c>
      <c r="M8" s="12">
        <f>I8-L8</f>
      </c>
      <c r="N8" s="15">
        <f>IF(M8/D8&gt;=0.22,"SCALE",IF(M8&gt;0,"OPTIMIZE","REPRICE"))</f>
      </c>
    </row>
    <row r="9" ht="20" customHeight="1" spans="1:14" x14ac:dyDescent="0.25">
      <c r="A9" s="16" t="s">
        <v>24</v>
      </c>
      <c r="B9" s="16" t="s">
        <v>25</v>
      </c>
      <c r="C9" s="16" t="s">
        <v>26</v>
      </c>
      <c r="D9" s="17">
        <v>189</v>
      </c>
      <c r="E9" s="17">
        <v>41</v>
      </c>
      <c r="F9" s="17">
        <v>8.5</v>
      </c>
      <c r="G9" s="17">
        <f>ROUND(D9*0.029+0.30, 2)</f>
      </c>
      <c r="H9" s="17">
        <f>SUM(E9:G9)</f>
      </c>
      <c r="I9" s="17">
        <f>D9-H9</f>
      </c>
      <c r="J9" s="18">
        <f>IF(D9&gt;0, I9/D9, 0)</f>
      </c>
      <c r="K9" s="19">
        <f>IF(I9&gt;0, D9/I9, 0)</f>
      </c>
      <c r="L9" s="17">
        <v>38</v>
      </c>
      <c r="M9" s="17">
        <f>I9-L9</f>
      </c>
      <c r="N9" s="20">
        <f>IF(M9/D9&gt;=0.22,"SCALE",IF(M9&gt;0,"OPTIMIZE","REPRICE"))</f>
      </c>
    </row>
    <row r="10" ht="20" customHeight="1" spans="1:14" x14ac:dyDescent="0.25">
      <c r="A10" s="11" t="s">
        <v>27</v>
      </c>
      <c r="B10" s="11" t="s">
        <v>28</v>
      </c>
      <c r="C10" s="11" t="s">
        <v>29</v>
      </c>
      <c r="D10" s="12">
        <v>89</v>
      </c>
      <c r="E10" s="12">
        <v>21</v>
      </c>
      <c r="F10" s="12">
        <v>7.4</v>
      </c>
      <c r="G10" s="12">
        <f>ROUND(D10*0.029+0.30, 2)</f>
      </c>
      <c r="H10" s="12">
        <f>SUM(E10:G10)</f>
      </c>
      <c r="I10" s="12">
        <f>D10-H10</f>
      </c>
      <c r="J10" s="13">
        <f>IF(D10&gt;0, I10/D10, 0)</f>
      </c>
      <c r="K10" s="14">
        <f>IF(I10&gt;0, D10/I10, 0)</f>
      </c>
      <c r="L10" s="12">
        <v>22.5</v>
      </c>
      <c r="M10" s="12">
        <f>I10-L10</f>
      </c>
      <c r="N10" s="15">
        <f>IF(M10/D10&gt;=0.22,"SCALE",IF(M10&gt;0,"OPTIMIZE","REPRICE"))</f>
      </c>
    </row>
    <row r="11" ht="20" customHeight="1" spans="1:14" x14ac:dyDescent="0.25">
      <c r="A11" s="16" t="s">
        <v>30</v>
      </c>
      <c r="B11" s="16" t="s">
        <v>31</v>
      </c>
      <c r="C11" s="16" t="s">
        <v>32</v>
      </c>
      <c r="D11" s="17">
        <v>79</v>
      </c>
      <c r="E11" s="17">
        <v>16.5</v>
      </c>
      <c r="F11" s="17">
        <v>8.2</v>
      </c>
      <c r="G11" s="17">
        <f>ROUND(D11*0.029+0.30, 2)</f>
      </c>
      <c r="H11" s="17">
        <f>SUM(E11:G11)</f>
      </c>
      <c r="I11" s="17">
        <f>D11-H11</f>
      </c>
      <c r="J11" s="18">
        <f>IF(D11&gt;0, I11/D11, 0)</f>
      </c>
      <c r="K11" s="19">
        <f>IF(I11&gt;0, D11/I11, 0)</f>
      </c>
      <c r="L11" s="17">
        <v>19</v>
      </c>
      <c r="M11" s="17">
        <f>I11-L11</f>
      </c>
      <c r="N11" s="20">
        <f>IF(M11/D11&gt;=0.22,"SCALE",IF(M11&gt;0,"OPTIMIZE","REPRICE"))</f>
      </c>
    </row>
    <row r="12" ht="20" customHeight="1" spans="1:14" x14ac:dyDescent="0.25">
      <c r="A12" s="11" t="s">
        <v>33</v>
      </c>
      <c r="B12" s="11" t="s">
        <v>34</v>
      </c>
      <c r="C12" s="11" t="s">
        <v>35</v>
      </c>
      <c r="D12" s="12">
        <v>68</v>
      </c>
      <c r="E12" s="12">
        <v>14.2</v>
      </c>
      <c r="F12" s="12">
        <v>4.9</v>
      </c>
      <c r="G12" s="12">
        <f>ROUND(D12*0.029+0.30, 2)</f>
      </c>
      <c r="H12" s="12">
        <f>SUM(E12:G12)</f>
      </c>
      <c r="I12" s="12">
        <f>D12-H12</f>
      </c>
      <c r="J12" s="13">
        <f>IF(D12&gt;0, I12/D12, 0)</f>
      </c>
      <c r="K12" s="14">
        <f>IF(I12&gt;0, D12/I12, 0)</f>
      </c>
      <c r="L12" s="12">
        <v>18.5</v>
      </c>
      <c r="M12" s="12">
        <f>I12-L12</f>
      </c>
      <c r="N12" s="15">
        <f>IF(M12/D12&gt;=0.22,"SCALE",IF(M12&gt;0,"OPTIMIZE","REPRICE"))</f>
      </c>
    </row>
    <row r="13" ht="20" customHeight="1" spans="1:14" x14ac:dyDescent="0.25">
      <c r="A13" s="16" t="s">
        <v>36</v>
      </c>
      <c r="B13" s="16" t="s">
        <v>37</v>
      </c>
      <c r="C13" s="16" t="s">
        <v>38</v>
      </c>
      <c r="D13" s="17">
        <v>129</v>
      </c>
      <c r="E13" s="17">
        <v>34</v>
      </c>
      <c r="F13" s="17">
        <v>11.5</v>
      </c>
      <c r="G13" s="17">
        <f>ROUND(D13*0.029+0.30, 2)</f>
      </c>
      <c r="H13" s="17">
        <f>SUM(E13:G13)</f>
      </c>
      <c r="I13" s="17">
        <f>D13-H13</f>
      </c>
      <c r="J13" s="18">
        <f>IF(D13&gt;0, I13/D13, 0)</f>
      </c>
      <c r="K13" s="19">
        <f>IF(I13&gt;0, D13/I13, 0)</f>
      </c>
      <c r="L13" s="17">
        <v>31</v>
      </c>
      <c r="M13" s="17">
        <f>I13-L13</f>
      </c>
      <c r="N13" s="20">
        <f>IF(M13/D13&gt;=0.22,"SCALE",IF(M13&gt;0,"OPTIMIZE","REPRICE"))</f>
      </c>
    </row>
    <row r="14" ht="20" customHeight="1" spans="1:14" x14ac:dyDescent="0.25">
      <c r="A14" s="11" t="s">
        <v>39</v>
      </c>
      <c r="B14" s="11" t="s">
        <v>40</v>
      </c>
      <c r="C14" s="11" t="s">
        <v>41</v>
      </c>
      <c r="D14" s="12">
        <v>249</v>
      </c>
      <c r="E14" s="12">
        <v>68</v>
      </c>
      <c r="F14" s="12">
        <v>22</v>
      </c>
      <c r="G14" s="12">
        <f>ROUND(D14*0.029+0.30, 2)</f>
      </c>
      <c r="H14" s="12">
        <f>SUM(E14:G14)</f>
      </c>
      <c r="I14" s="12">
        <f>D14-H14</f>
      </c>
      <c r="J14" s="13">
        <f>IF(D14&gt;0, I14/D14, 0)</f>
      </c>
      <c r="K14" s="14">
        <f>IF(I14&gt;0, D14/I14, 0)</f>
      </c>
      <c r="L14" s="12">
        <v>52</v>
      </c>
      <c r="M14" s="12">
        <f>I14-L14</f>
      </c>
      <c r="N14" s="15">
        <f>IF(M14/D14&gt;=0.22,"SCALE",IF(M14&gt;0,"OPTIMIZE","REPRICE"))</f>
      </c>
    </row>
    <row r="15" ht="20" customHeight="1" spans="1:14" x14ac:dyDescent="0.25">
      <c r="A15" s="16" t="s">
        <v>42</v>
      </c>
      <c r="B15" s="16" t="s">
        <v>43</v>
      </c>
      <c r="C15" s="16" t="s">
        <v>44</v>
      </c>
      <c r="D15" s="17">
        <v>54</v>
      </c>
      <c r="E15" s="17">
        <v>11.8</v>
      </c>
      <c r="F15" s="17">
        <v>5.5</v>
      </c>
      <c r="G15" s="17">
        <f>ROUND(D15*0.029+0.30, 2)</f>
      </c>
      <c r="H15" s="17">
        <f>SUM(E15:G15)</f>
      </c>
      <c r="I15" s="17">
        <f>D15-H15</f>
      </c>
      <c r="J15" s="18">
        <f>IF(D15&gt;0, I15/D15, 0)</f>
      </c>
      <c r="K15" s="19">
        <f>IF(I15&gt;0, D15/I15, 0)</f>
      </c>
      <c r="L15" s="17">
        <v>16</v>
      </c>
      <c r="M15" s="17">
        <f>I15-L15</f>
      </c>
      <c r="N15" s="20">
        <f>IF(M15/D15&gt;=0.22,"SCALE",IF(M15&gt;0,"OPTIMIZE","REPRICE"))</f>
      </c>
    </row>
    <row r="16" ht="20" customHeight="1" spans="1:14" x14ac:dyDescent="0.25">
      <c r="A16" s="11" t="s">
        <v>45</v>
      </c>
      <c r="B16" s="11" t="s">
        <v>46</v>
      </c>
      <c r="C16" s="11" t="s">
        <v>47</v>
      </c>
      <c r="D16" s="12">
        <v>115</v>
      </c>
      <c r="E16" s="12">
        <v>26</v>
      </c>
      <c r="F16" s="12">
        <v>8.9</v>
      </c>
      <c r="G16" s="12">
        <f>ROUND(D16*0.029+0.30, 2)</f>
      </c>
      <c r="H16" s="12">
        <f>SUM(E16:G16)</f>
      </c>
      <c r="I16" s="12">
        <f>D16-H16</f>
      </c>
      <c r="J16" s="13">
        <f>IF(D16&gt;0, I16/D16, 0)</f>
      </c>
      <c r="K16" s="14">
        <f>IF(I16&gt;0, D16/I16, 0)</f>
      </c>
      <c r="L16" s="12">
        <v>27</v>
      </c>
      <c r="M16" s="12">
        <f>I16-L16</f>
      </c>
      <c r="N16" s="15">
        <f>IF(M16/D16&gt;=0.22,"SCALE",IF(M16&gt;0,"OPTIMIZE","REPRICE"))</f>
      </c>
    </row>
    <row r="17" ht="20" customHeight="1" spans="1:14" x14ac:dyDescent="0.25">
      <c r="A17" s="16" t="s">
        <v>48</v>
      </c>
      <c r="B17" s="16" t="s">
        <v>49</v>
      </c>
      <c r="C17" s="16" t="s">
        <v>50</v>
      </c>
      <c r="D17" s="17">
        <v>95</v>
      </c>
      <c r="E17" s="17">
        <v>18</v>
      </c>
      <c r="F17" s="17">
        <v>5.2</v>
      </c>
      <c r="G17" s="17">
        <f>ROUND(D17*0.029+0.30, 2)</f>
      </c>
      <c r="H17" s="17">
        <f>SUM(E17:G17)</f>
      </c>
      <c r="I17" s="17">
        <f>D17-H17</f>
      </c>
      <c r="J17" s="18">
        <f>IF(D17&gt;0, I17/D17, 0)</f>
      </c>
      <c r="K17" s="19">
        <f>IF(I17&gt;0, D17/I17, 0)</f>
      </c>
      <c r="L17" s="17">
        <v>24</v>
      </c>
      <c r="M17" s="17">
        <f>I17-L17</f>
      </c>
      <c r="N17" s="20">
        <f>IF(M17/D17&gt;=0.22,"SCALE",IF(M17&gt;0,"OPTIMIZE","REPRICE"))</f>
      </c>
    </row>
    <row r="18" ht="20" customHeight="1" spans="1:14" x14ac:dyDescent="0.25">
      <c r="A18" s="11" t="s">
        <v>51</v>
      </c>
      <c r="B18" s="11" t="s">
        <v>52</v>
      </c>
      <c r="C18" s="11" t="s">
        <v>53</v>
      </c>
      <c r="D18" s="12">
        <v>49</v>
      </c>
      <c r="E18" s="12">
        <v>10.5</v>
      </c>
      <c r="F18" s="12">
        <v>4.8</v>
      </c>
      <c r="G18" s="12">
        <f>ROUND(D18*0.029+0.30, 2)</f>
      </c>
      <c r="H18" s="12">
        <f>SUM(E18:G18)</f>
      </c>
      <c r="I18" s="12">
        <f>D18-H18</f>
      </c>
      <c r="J18" s="13">
        <f>IF(D18&gt;0, I18/D18, 0)</f>
      </c>
      <c r="K18" s="14">
        <f>IF(I18&gt;0, D18/I18, 0)</f>
      </c>
      <c r="L18" s="12">
        <v>18</v>
      </c>
      <c r="M18" s="12">
        <f>I18-L18</f>
      </c>
      <c r="N18" s="15">
        <f>IF(M18/D18&gt;=0.22,"SCALE",IF(M18&gt;0,"OPTIMIZE","REPRICE"))</f>
      </c>
    </row>
    <row r="19" ht="20" customHeight="1" spans="1:14" x14ac:dyDescent="0.25">
      <c r="A19" s="16" t="s">
        <v>54</v>
      </c>
      <c r="B19" s="16" t="s">
        <v>55</v>
      </c>
      <c r="C19" s="16" t="s">
        <v>38</v>
      </c>
      <c r="D19" s="17">
        <v>42</v>
      </c>
      <c r="E19" s="17">
        <v>9.2</v>
      </c>
      <c r="F19" s="17">
        <v>5.4</v>
      </c>
      <c r="G19" s="17">
        <f>ROUND(D19*0.029+0.30, 2)</f>
      </c>
      <c r="H19" s="17">
        <f>SUM(E19:G19)</f>
      </c>
      <c r="I19" s="17">
        <f>D19-H19</f>
      </c>
      <c r="J19" s="18">
        <f>IF(D19&gt;0, I19/D19, 0)</f>
      </c>
      <c r="K19" s="19">
        <f>IF(I19&gt;0, D19/I19, 0)</f>
      </c>
      <c r="L19" s="17">
        <v>17.5</v>
      </c>
      <c r="M19" s="17">
        <f>I19-L19</f>
      </c>
      <c r="N19" s="20">
        <f>IF(M19/D19&gt;=0.22,"SCALE",IF(M19&gt;0,"OPTIMIZE","REPRICE"))</f>
      </c>
    </row>
    <row r="20" ht="20" customHeight="1" spans="1:14" x14ac:dyDescent="0.25">
      <c r="A20" s="11" t="s">
        <v>56</v>
      </c>
      <c r="B20" s="11" t="s">
        <v>57</v>
      </c>
      <c r="C20" s="11" t="s">
        <v>58</v>
      </c>
      <c r="D20" s="12">
        <v>109</v>
      </c>
      <c r="E20" s="12">
        <v>23</v>
      </c>
      <c r="F20" s="12">
        <v>6.1</v>
      </c>
      <c r="G20" s="12">
        <f>ROUND(D20*0.029+0.30, 2)</f>
      </c>
      <c r="H20" s="12">
        <f>SUM(E20:G20)</f>
      </c>
      <c r="I20" s="12">
        <f>D20-H20</f>
      </c>
      <c r="J20" s="13">
        <f>IF(D20&gt;0, I20/D20, 0)</f>
      </c>
      <c r="K20" s="14">
        <f>IF(I20&gt;0, D20/I20, 0)</f>
      </c>
      <c r="L20" s="12">
        <v>25</v>
      </c>
      <c r="M20" s="12">
        <f>I20-L20</f>
      </c>
      <c r="N20" s="15">
        <f>IF(M20/D20&gt;=0.22,"SCALE",IF(M20&gt;0,"OPTIMIZE","REPRICE"))</f>
      </c>
    </row>
    <row r="21" ht="20" customHeight="1" spans="1:14" x14ac:dyDescent="0.25">
      <c r="A21" s="16" t="s">
        <v>59</v>
      </c>
      <c r="B21" s="16" t="s">
        <v>60</v>
      </c>
      <c r="C21" s="16" t="s">
        <v>61</v>
      </c>
      <c r="D21" s="17">
        <v>64</v>
      </c>
      <c r="E21" s="17">
        <v>13.5</v>
      </c>
      <c r="F21" s="17">
        <v>6.2</v>
      </c>
      <c r="G21" s="17">
        <f>ROUND(D21*0.029+0.30, 2)</f>
      </c>
      <c r="H21" s="17">
        <f>SUM(E21:G21)</f>
      </c>
      <c r="I21" s="17">
        <f>D21-H21</f>
      </c>
      <c r="J21" s="18">
        <f>IF(D21&gt;0, I21/D21, 0)</f>
      </c>
      <c r="K21" s="19">
        <f>IF(I21&gt;0, D21/I21, 0)</f>
      </c>
      <c r="L21" s="17">
        <v>16</v>
      </c>
      <c r="M21" s="17">
        <f>I21-L21</f>
      </c>
      <c r="N21" s="20">
        <f>IF(M21/D21&gt;=0.22,"SCALE",IF(M21&gt;0,"OPTIMIZE","REPRICE"))</f>
      </c>
    </row>
    <row r="22" ht="24" customHeight="1" spans="1:14" x14ac:dyDescent="0.25">
      <c r="A22" s="21" t="s">
        <v>62</v>
      </c>
      <c r="B22" s="21"/>
      <c r="C22" s="21"/>
      <c r="D22" s="22">
        <f>AVERAGE(D8:D21)</f>
      </c>
      <c r="E22" s="22">
        <f>AVERAGE(E8:E21)</f>
      </c>
      <c r="F22" s="22">
        <f>AVERAGE(F8:F21)</f>
      </c>
      <c r="G22" s="22">
        <f>AVERAGE(G8:G21)</f>
      </c>
      <c r="H22" s="22">
        <f>AVERAGE(H8:H21)</f>
      </c>
      <c r="I22" s="22">
        <f>AVERAGE(I8:I21)</f>
      </c>
      <c r="J22" s="23">
        <f>AVERAGE(J8:J21)</f>
      </c>
      <c r="K22" s="24">
        <f>AVERAGE(K8:K21)</f>
      </c>
      <c r="L22" s="22">
        <f>AVERAGE(L8:L21)</f>
      </c>
      <c r="M22" s="22">
        <f>SUM(M8:M21)</f>
      </c>
      <c r="N22" s="21">
        <f>IF(AVERAGE(J8:J21)&gt;=0.5,"HEALTHY","REVIEW")</f>
      </c>
    </row>
  </sheetData>
  <mergeCells count="12">
    <mergeCell ref="A1:N1"/>
    <mergeCell ref="A2:N2"/>
    <mergeCell ref="A4:C4"/>
    <mergeCell ref="D4:F4"/>
    <mergeCell ref="G4:I4"/>
    <mergeCell ref="J4:L4"/>
    <mergeCell ref="M4:N4"/>
    <mergeCell ref="A5:C5"/>
    <mergeCell ref="D5:F5"/>
    <mergeCell ref="G5:I5"/>
    <mergeCell ref="J5:L5"/>
    <mergeCell ref="M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ROAS &amp; Pricing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2026-10-16T12:24:48Z</dcterms:created>
  <dcterms:modified xsi:type="dcterms:W3CDTF">2026-10-16T12:24:48Z</dcterms:modified>
</cp:coreProperties>
</file>
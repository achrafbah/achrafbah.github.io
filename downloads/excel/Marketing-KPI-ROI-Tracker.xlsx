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lti-Channel ROI Tracker" state="visible" r:id="rId4"/>
  </sheets>
  <calcPr calcId="171027"/>
</workbook>
</file>

<file path=xl/sharedStrings.xml><?xml version="1.0" encoding="utf-8"?>
<sst xmlns="http://schemas.openxmlformats.org/spreadsheetml/2006/main" count="64" uniqueCount="62">
  <si>
    <t>MULTI-CHANNEL MARKETING AD SPEND, CTR, CPC, CONVERSIONS &amp; ROAS TRACKER</t>
  </si>
  <si>
    <t>Performance Attribution Across Paid Search, Paid Social, Influencer &amp; Lifecycle Channels</t>
  </si>
  <si>
    <t>TOTAL AD SPEND</t>
  </si>
  <si>
    <t>TOTAL ATTRIBUTED REVENUE</t>
  </si>
  <si>
    <t>BLENDED PORTFOLIO ROAS</t>
  </si>
  <si>
    <t>BLENDED CTR %</t>
  </si>
  <si>
    <t>NET AD CONTRIBUTION</t>
  </si>
  <si>
    <t>Campaign ID</t>
  </si>
  <si>
    <t>Channel</t>
  </si>
  <si>
    <t>Campaign Name</t>
  </si>
  <si>
    <t>Ad Spend ($)</t>
  </si>
  <si>
    <t>Impressions</t>
  </si>
  <si>
    <t>Clicks</t>
  </si>
  <si>
    <t>CTR %</t>
  </si>
  <si>
    <t>CPC ($)</t>
  </si>
  <si>
    <t>Conversions</t>
  </si>
  <si>
    <t>CPA ($)</t>
  </si>
  <si>
    <t>Attributed Revenue ($)</t>
  </si>
  <si>
    <t>ROAS (x)</t>
  </si>
  <si>
    <t>Net Contribution ($)</t>
  </si>
  <si>
    <t>Bid Action</t>
  </si>
  <si>
    <t>CMP-01</t>
  </si>
  <si>
    <t>Google Search</t>
  </si>
  <si>
    <t>Brand Exact &amp; High-Intent Core</t>
  </si>
  <si>
    <t>CMP-02</t>
  </si>
  <si>
    <t>Non-Brand Category Solution Keywords</t>
  </si>
  <si>
    <t>CMP-03</t>
  </si>
  <si>
    <t>Meta Ads</t>
  </si>
  <si>
    <t>Prospecting UGC Video Reels (Broad)</t>
  </si>
  <si>
    <t>CMP-04</t>
  </si>
  <si>
    <t>Dynamic Product Retargeting (DPA 14d)</t>
  </si>
  <si>
    <t>CMP-05</t>
  </si>
  <si>
    <t>TikTok Ads</t>
  </si>
  <si>
    <t>Creator Spark Ads - GenZ Problem/Solution</t>
  </si>
  <si>
    <t>CMP-06</t>
  </si>
  <si>
    <t>YouTube Ads</t>
  </si>
  <si>
    <t>In-Stream Product Demo &amp; Mid-Roll</t>
  </si>
  <si>
    <t>CMP-07</t>
  </si>
  <si>
    <t>LinkedIn Ads</t>
  </si>
  <si>
    <t>B2B Decision Maker Lead Gen Forms</t>
  </si>
  <si>
    <t>CMP-08</t>
  </si>
  <si>
    <t>Google Shopping</t>
  </si>
  <si>
    <t>Performance Max (PMax) Best Sellers</t>
  </si>
  <si>
    <t>CMP-09</t>
  </si>
  <si>
    <t>Pinterest Ads</t>
  </si>
  <si>
    <t>Visual Discovery Lifestyle Lookbook</t>
  </si>
  <si>
    <t>CMP-10</t>
  </si>
  <si>
    <t>Influencer / Whitelist</t>
  </si>
  <si>
    <t>Q4 Tier-1 Creator Partnership Bundle</t>
  </si>
  <si>
    <t>CMP-11</t>
  </si>
  <si>
    <t>Newsletter Sponsors</t>
  </si>
  <si>
    <t>Niche Industry Daily Digest Sponsorship</t>
  </si>
  <si>
    <t>CMP-12</t>
  </si>
  <si>
    <t>Reddit Ads</t>
  </si>
  <si>
    <t>Subreddit Community Promoted Megathread</t>
  </si>
  <si>
    <t>CMP-13</t>
  </si>
  <si>
    <t>Affiliate Network</t>
  </si>
  <si>
    <t>Content &amp; Review Publisher Partners</t>
  </si>
  <si>
    <t>CMP-14</t>
  </si>
  <si>
    <t>SMS &amp; Klaviyo</t>
  </si>
  <si>
    <t>VIP Winback &amp; Cart Abandonment Flows</t>
  </si>
  <si>
    <t>TOTAL / BLENDED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</si>
</sst>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0.00&quot;x&quot;"/>
    <numFmt numFmtId="166" formatCode="$#,##0.00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0F172A"/>
      <sz val="13"/>
      <name val="Segoe UI"/>
    </font>
    <font>
      <b/>
      <color rgb="FF059669"/>
      <sz val="13"/>
      <name val="Segoe UI"/>
    </font>
    <font>
      <b/>
      <color rgb="FF2563EB"/>
      <sz val="13"/>
      <name val="Segoe UI"/>
    </font>
    <font>
      <b/>
      <color rgb="FF4F46E5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59669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0" fontId="7" fillId="4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164" fontId="9" fillId="5" borderId="3" xfId="0" applyNumberFormat="1" applyFont="1" applyFill="1" applyBorder="1" applyAlignment="1">
      <alignment horizontal="right" vertical="center"/>
    </xf>
    <xf numFmtId="3" fontId="9" fillId="5" borderId="3" xfId="0" applyNumberFormat="1" applyFont="1" applyFill="1" applyBorder="1" applyAlignment="1">
      <alignment horizontal="right" vertical="center"/>
    </xf>
    <xf numFmtId="10" fontId="9" fillId="5" borderId="3" xfId="0" applyNumberFormat="1" applyFont="1" applyFill="1" applyBorder="1" applyAlignment="1">
      <alignment horizontal="right" vertical="center"/>
    </xf>
    <xf numFmtId="166" fontId="9" fillId="5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164" fontId="9" fillId="6" borderId="3" xfId="0" applyNumberFormat="1" applyFont="1" applyFill="1" applyBorder="1" applyAlignment="1">
      <alignment horizontal="right" vertical="center"/>
    </xf>
    <xf numFmtId="3" fontId="9" fillId="6" borderId="3" xfId="0" applyNumberFormat="1" applyFont="1" applyFill="1" applyBorder="1" applyAlignment="1">
      <alignment horizontal="right" vertical="center"/>
    </xf>
    <xf numFmtId="10" fontId="9" fillId="6" borderId="3" xfId="0" applyNumberFormat="1" applyFont="1" applyFill="1" applyBorder="1" applyAlignment="1">
      <alignment horizontal="right" vertical="center"/>
    </xf>
    <xf numFmtId="166" fontId="9" fillId="6" borderId="3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4" xfId="0" applyFont="1" applyFill="1" applyBorder="1"/>
    <xf numFmtId="164" fontId="11" fillId="4" borderId="4" xfId="0" applyNumberFormat="1" applyFont="1" applyFill="1" applyBorder="1"/>
    <xf numFmtId="3" fontId="11" fillId="4" borderId="4" xfId="0" applyNumberFormat="1" applyFont="1" applyFill="1" applyBorder="1"/>
    <xf numFmtId="10" fontId="11" fillId="4" borderId="4" xfId="0" applyNumberFormat="1" applyFont="1" applyFill="1" applyBorder="1"/>
    <xf numFmtId="166" fontId="11" fillId="4" borderId="4" xfId="0" applyNumberFormat="1" applyFont="1" applyFill="1" applyBorder="1"/>
    <xf numFmtId="165" fontId="1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6" customWidth="1"/>
    <col min="3" max="3" width="34" customWidth="1"/>
    <col min="4" max="4" width="16" customWidth="1"/>
    <col min="5" max="5" width="15" customWidth="1"/>
    <col min="6" max="8" width="14" customWidth="1"/>
    <col min="9" max="9" width="15" customWidth="1"/>
    <col min="10" max="10" width="14" customWidth="1"/>
    <col min="11" max="11" width="26" customWidth="1"/>
    <col min="12" max="12" width="14" customWidth="1"/>
    <col min="13" max="13" width="24" customWidth="1"/>
    <col min="14" max="14" width="14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0" customHeight="1" x14ac:dyDescent="0.25"/>
    <row r="4" ht="18" customHeight="1" spans="1:14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 t="s">
        <v>6</v>
      </c>
      <c r="N4" s="3"/>
    </row>
    <row r="5" ht="28" customHeight="1" spans="1:14" x14ac:dyDescent="0.25">
      <c r="A5" s="4">
        <f>SUM(D8:D21)</f>
      </c>
      <c r="B5" s="4"/>
      <c r="C5" s="4"/>
      <c r="D5" s="5">
        <f>SUM(K8:K21)</f>
      </c>
      <c r="E5" s="5"/>
      <c r="F5" s="5"/>
      <c r="G5" s="6">
        <f>IF(SUM(D8:D21)&gt;0,SUM(K8:K21)/SUM(D8:D21),0)</f>
      </c>
      <c r="H5" s="6"/>
      <c r="I5" s="6"/>
      <c r="J5" s="7">
        <f>IF(SUM(E8:E21)&gt;0,SUM(F8:F21)/SUM(E8:E21),0)</f>
      </c>
      <c r="K5" s="7"/>
      <c r="L5" s="7"/>
      <c r="M5" s="5">
        <f>SUM(M8:M21)</f>
      </c>
      <c r="N5" s="5"/>
    </row>
    <row r="6" ht="10" customHeight="1" x14ac:dyDescent="0.25"/>
    <row r="7" ht="26" customHeight="1" spans="1:14" x14ac:dyDescent="0.25">
      <c r="A7" s="8" t="s">
        <v>7</v>
      </c>
      <c r="B7" s="8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18</v>
      </c>
      <c r="M7" s="9" t="s">
        <v>19</v>
      </c>
      <c r="N7" s="9" t="s">
        <v>20</v>
      </c>
    </row>
    <row r="8" ht="20" customHeight="1" spans="1:14" x14ac:dyDescent="0.25">
      <c r="A8" s="10" t="s">
        <v>21</v>
      </c>
      <c r="B8" s="11" t="s">
        <v>22</v>
      </c>
      <c r="C8" s="11" t="s">
        <v>23</v>
      </c>
      <c r="D8" s="12">
        <v>18500</v>
      </c>
      <c r="E8" s="13">
        <v>290000</v>
      </c>
      <c r="F8" s="13">
        <v>19800</v>
      </c>
      <c r="G8" s="14">
        <f>IF(E8&gt;0, F8/E8, 0)</f>
      </c>
      <c r="H8" s="15">
        <f>IF(F8&gt;0, D8/F8, 0)</f>
      </c>
      <c r="I8" s="13">
        <v>910</v>
      </c>
      <c r="J8" s="15">
        <f>IF(I8&gt;0, D8/I8, 0)</f>
      </c>
      <c r="K8" s="12">
        <v>104650</v>
      </c>
      <c r="L8" s="16">
        <f>IF(D8&gt;0, K8/D8, 0)</f>
      </c>
      <c r="M8" s="12">
        <f>K8-D8</f>
      </c>
      <c r="N8" s="17">
        <f>IF(L8&gt;=3.5,"SCALE BUDGET",IF(L8&gt;=2.2,"HOLD / OPTIMIZE","TRIM SPEND"))</f>
      </c>
    </row>
    <row r="9" ht="20" customHeight="1" spans="1:14" x14ac:dyDescent="0.25">
      <c r="A9" s="18" t="s">
        <v>24</v>
      </c>
      <c r="B9" s="19" t="s">
        <v>22</v>
      </c>
      <c r="C9" s="19" t="s">
        <v>25</v>
      </c>
      <c r="D9" s="20">
        <v>24000</v>
      </c>
      <c r="E9" s="21">
        <v>520000</v>
      </c>
      <c r="F9" s="21">
        <v>16400</v>
      </c>
      <c r="G9" s="22">
        <f>IF(E9&gt;0, F9/E9, 0)</f>
      </c>
      <c r="H9" s="23">
        <f>IF(F9&gt;0, D9/F9, 0)</f>
      </c>
      <c r="I9" s="21">
        <v>540</v>
      </c>
      <c r="J9" s="23">
        <f>IF(I9&gt;0, D9/I9, 0)</f>
      </c>
      <c r="K9" s="20">
        <v>72900</v>
      </c>
      <c r="L9" s="24">
        <f>IF(D9&gt;0, K9/D9, 0)</f>
      </c>
      <c r="M9" s="20">
        <f>K9-D9</f>
      </c>
      <c r="N9" s="25">
        <f>IF(L9&gt;=3.5,"SCALE BUDGET",IF(L9&gt;=2.2,"HOLD / OPTIMIZE","TRIM SPEND"))</f>
      </c>
    </row>
    <row r="10" ht="20" customHeight="1" spans="1:14" x14ac:dyDescent="0.25">
      <c r="A10" s="10" t="s">
        <v>26</v>
      </c>
      <c r="B10" s="11" t="s">
        <v>27</v>
      </c>
      <c r="C10" s="11" t="s">
        <v>28</v>
      </c>
      <c r="D10" s="12">
        <v>32000</v>
      </c>
      <c r="E10" s="13">
        <v>1850000</v>
      </c>
      <c r="F10" s="13">
        <v>29600</v>
      </c>
      <c r="G10" s="14">
        <f>IF(E10&gt;0, F10/E10, 0)</f>
      </c>
      <c r="H10" s="15">
        <f>IF(F10&gt;0, D10/F10, 0)</f>
      </c>
      <c r="I10" s="13">
        <v>780</v>
      </c>
      <c r="J10" s="15">
        <f>IF(I10&gt;0, D10/I10, 0)</f>
      </c>
      <c r="K10" s="12">
        <v>105300</v>
      </c>
      <c r="L10" s="16">
        <f>IF(D10&gt;0, K10/D10, 0)</f>
      </c>
      <c r="M10" s="12">
        <f>K10-D10</f>
      </c>
      <c r="N10" s="17">
        <f>IF(L10&gt;=3.5,"SCALE BUDGET",IF(L10&gt;=2.2,"HOLD / OPTIMIZE","TRIM SPEND"))</f>
      </c>
    </row>
    <row r="11" ht="20" customHeight="1" spans="1:14" x14ac:dyDescent="0.25">
      <c r="A11" s="18" t="s">
        <v>29</v>
      </c>
      <c r="B11" s="19" t="s">
        <v>27</v>
      </c>
      <c r="C11" s="19" t="s">
        <v>30</v>
      </c>
      <c r="D11" s="20">
        <v>14500</v>
      </c>
      <c r="E11" s="21">
        <v>620000</v>
      </c>
      <c r="F11" s="21">
        <v>13900</v>
      </c>
      <c r="G11" s="22">
        <f>IF(E11&gt;0, F11/E11, 0)</f>
      </c>
      <c r="H11" s="23">
        <f>IF(F11&gt;0, D11/F11, 0)</f>
      </c>
      <c r="I11" s="21">
        <v>610</v>
      </c>
      <c r="J11" s="23">
        <f>IF(I11&gt;0, D11/I11, 0)</f>
      </c>
      <c r="K11" s="20">
        <v>76250</v>
      </c>
      <c r="L11" s="24">
        <f>IF(D11&gt;0, K11/D11, 0)</f>
      </c>
      <c r="M11" s="20">
        <f>K11-D11</f>
      </c>
      <c r="N11" s="25">
        <f>IF(L11&gt;=3.5,"SCALE BUDGET",IF(L11&gt;=2.2,"HOLD / OPTIMIZE","TRIM SPEND"))</f>
      </c>
    </row>
    <row r="12" ht="20" customHeight="1" spans="1:14" x14ac:dyDescent="0.25">
      <c r="A12" s="10" t="s">
        <v>31</v>
      </c>
      <c r="B12" s="11" t="s">
        <v>32</v>
      </c>
      <c r="C12" s="11" t="s">
        <v>33</v>
      </c>
      <c r="D12" s="12">
        <v>19000</v>
      </c>
      <c r="E12" s="13">
        <v>2400000</v>
      </c>
      <c r="F12" s="13">
        <v>31200</v>
      </c>
      <c r="G12" s="14">
        <f>IF(E12&gt;0, F12/E12, 0)</f>
      </c>
      <c r="H12" s="15">
        <f>IF(F12&gt;0, D12/F12, 0)</f>
      </c>
      <c r="I12" s="13">
        <v>490</v>
      </c>
      <c r="J12" s="15">
        <f>IF(I12&gt;0, D12/I12, 0)</f>
      </c>
      <c r="K12" s="12">
        <v>58800</v>
      </c>
      <c r="L12" s="16">
        <f>IF(D12&gt;0, K12/D12, 0)</f>
      </c>
      <c r="M12" s="12">
        <f>K12-D12</f>
      </c>
      <c r="N12" s="17">
        <f>IF(L12&gt;=3.5,"SCALE BUDGET",IF(L12&gt;=2.2,"HOLD / OPTIMIZE","TRIM SPEND"))</f>
      </c>
    </row>
    <row r="13" ht="20" customHeight="1" spans="1:14" x14ac:dyDescent="0.25">
      <c r="A13" s="18" t="s">
        <v>34</v>
      </c>
      <c r="B13" s="19" t="s">
        <v>35</v>
      </c>
      <c r="C13" s="19" t="s">
        <v>36</v>
      </c>
      <c r="D13" s="20">
        <v>16000</v>
      </c>
      <c r="E13" s="21">
        <v>980000</v>
      </c>
      <c r="F13" s="21">
        <v>11800</v>
      </c>
      <c r="G13" s="22">
        <f>IF(E13&gt;0, F13/E13, 0)</f>
      </c>
      <c r="H13" s="23">
        <f>IF(F13&gt;0, D13/F13, 0)</f>
      </c>
      <c r="I13" s="21">
        <v>310</v>
      </c>
      <c r="J13" s="23">
        <f>IF(I13&gt;0, D13/I13, 0)</f>
      </c>
      <c r="K13" s="20">
        <v>44950</v>
      </c>
      <c r="L13" s="24">
        <f>IF(D13&gt;0, K13/D13, 0)</f>
      </c>
      <c r="M13" s="20">
        <f>K13-D13</f>
      </c>
      <c r="N13" s="25">
        <f>IF(L13&gt;=3.5,"SCALE BUDGET",IF(L13&gt;=2.2,"HOLD / OPTIMIZE","TRIM SPEND"))</f>
      </c>
    </row>
    <row r="14" ht="20" customHeight="1" spans="1:14" x14ac:dyDescent="0.25">
      <c r="A14" s="10" t="s">
        <v>37</v>
      </c>
      <c r="B14" s="11" t="s">
        <v>38</v>
      </c>
      <c r="C14" s="11" t="s">
        <v>39</v>
      </c>
      <c r="D14" s="12">
        <v>21000</v>
      </c>
      <c r="E14" s="13">
        <v>310000</v>
      </c>
      <c r="F14" s="13">
        <v>4200</v>
      </c>
      <c r="G14" s="14">
        <f>IF(E14&gt;0, F14/E14, 0)</f>
      </c>
      <c r="H14" s="15">
        <f>IF(F14&gt;0, D14/F14, 0)</f>
      </c>
      <c r="I14" s="13">
        <v>195</v>
      </c>
      <c r="J14" s="15">
        <f>IF(I14&gt;0, D14/I14, 0)</f>
      </c>
      <c r="K14" s="12">
        <v>68250</v>
      </c>
      <c r="L14" s="16">
        <f>IF(D14&gt;0, K14/D14, 0)</f>
      </c>
      <c r="M14" s="12">
        <f>K14-D14</f>
      </c>
      <c r="N14" s="17">
        <f>IF(L14&gt;=3.5,"SCALE BUDGET",IF(L14&gt;=2.2,"HOLD / OPTIMIZE","TRIM SPEND"))</f>
      </c>
    </row>
    <row r="15" ht="20" customHeight="1" spans="1:14" x14ac:dyDescent="0.25">
      <c r="A15" s="18" t="s">
        <v>40</v>
      </c>
      <c r="B15" s="19" t="s">
        <v>41</v>
      </c>
      <c r="C15" s="19" t="s">
        <v>42</v>
      </c>
      <c r="D15" s="20">
        <v>27500</v>
      </c>
      <c r="E15" s="21">
        <v>1420000</v>
      </c>
      <c r="F15" s="21">
        <v>25800</v>
      </c>
      <c r="G15" s="22">
        <f>IF(E15&gt;0, F15/E15, 0)</f>
      </c>
      <c r="H15" s="23">
        <f>IF(F15&gt;0, D15/F15, 0)</f>
      </c>
      <c r="I15" s="21">
        <v>845</v>
      </c>
      <c r="J15" s="23">
        <f>IF(I15&gt;0, D15/I15, 0)</f>
      </c>
      <c r="K15" s="20">
        <v>114075</v>
      </c>
      <c r="L15" s="24">
        <f>IF(D15&gt;0, K15/D15, 0)</f>
      </c>
      <c r="M15" s="20">
        <f>K15-D15</f>
      </c>
      <c r="N15" s="25">
        <f>IF(L15&gt;=3.5,"SCALE BUDGET",IF(L15&gt;=2.2,"HOLD / OPTIMIZE","TRIM SPEND"))</f>
      </c>
    </row>
    <row r="16" ht="20" customHeight="1" spans="1:14" x14ac:dyDescent="0.25">
      <c r="A16" s="10" t="s">
        <v>43</v>
      </c>
      <c r="B16" s="11" t="s">
        <v>44</v>
      </c>
      <c r="C16" s="11" t="s">
        <v>45</v>
      </c>
      <c r="D16" s="12">
        <v>8500</v>
      </c>
      <c r="E16" s="13">
        <v>740000</v>
      </c>
      <c r="F16" s="13">
        <v>9600</v>
      </c>
      <c r="G16" s="14">
        <f>IF(E16&gt;0, F16/E16, 0)</f>
      </c>
      <c r="H16" s="15">
        <f>IF(F16&gt;0, D16/F16, 0)</f>
      </c>
      <c r="I16" s="13">
        <v>180</v>
      </c>
      <c r="J16" s="15">
        <f>IF(I16&gt;0, D16/I16, 0)</f>
      </c>
      <c r="K16" s="12">
        <v>22500</v>
      </c>
      <c r="L16" s="16">
        <f>IF(D16&gt;0, K16/D16, 0)</f>
      </c>
      <c r="M16" s="12">
        <f>K16-D16</f>
      </c>
      <c r="N16" s="17">
        <f>IF(L16&gt;=3.5,"SCALE BUDGET",IF(L16&gt;=2.2,"HOLD / OPTIMIZE","TRIM SPEND"))</f>
      </c>
    </row>
    <row r="17" ht="20" customHeight="1" spans="1:14" x14ac:dyDescent="0.25">
      <c r="A17" s="18" t="s">
        <v>46</v>
      </c>
      <c r="B17" s="19" t="s">
        <v>47</v>
      </c>
      <c r="C17" s="19" t="s">
        <v>48</v>
      </c>
      <c r="D17" s="20">
        <v>22000</v>
      </c>
      <c r="E17" s="21">
        <v>1150000</v>
      </c>
      <c r="F17" s="21">
        <v>21400</v>
      </c>
      <c r="G17" s="22">
        <f>IF(E17&gt;0, F17/E17, 0)</f>
      </c>
      <c r="H17" s="23">
        <f>IF(F17&gt;0, D17/F17, 0)</f>
      </c>
      <c r="I17" s="21">
        <v>620</v>
      </c>
      <c r="J17" s="23">
        <f>IF(I17&gt;0, D17/I17, 0)</f>
      </c>
      <c r="K17" s="20">
        <v>89900</v>
      </c>
      <c r="L17" s="24">
        <f>IF(D17&gt;0, K17/D17, 0)</f>
      </c>
      <c r="M17" s="20">
        <f>K17-D17</f>
      </c>
      <c r="N17" s="25">
        <f>IF(L17&gt;=3.5,"SCALE BUDGET",IF(L17&gt;=2.2,"HOLD / OPTIMIZE","TRIM SPEND"))</f>
      </c>
    </row>
    <row r="18" ht="20" customHeight="1" spans="1:14" x14ac:dyDescent="0.25">
      <c r="A18" s="10" t="s">
        <v>49</v>
      </c>
      <c r="B18" s="11" t="s">
        <v>50</v>
      </c>
      <c r="C18" s="11" t="s">
        <v>51</v>
      </c>
      <c r="D18" s="12">
        <v>9500</v>
      </c>
      <c r="E18" s="13">
        <v>280000</v>
      </c>
      <c r="F18" s="13">
        <v>6900</v>
      </c>
      <c r="G18" s="14">
        <f>IF(E18&gt;0, F18/E18, 0)</f>
      </c>
      <c r="H18" s="15">
        <f>IF(F18&gt;0, D18/F18, 0)</f>
      </c>
      <c r="I18" s="13">
        <v>215</v>
      </c>
      <c r="J18" s="15">
        <f>IF(I18&gt;0, D18/I18, 0)</f>
      </c>
      <c r="K18" s="12">
        <v>32250</v>
      </c>
      <c r="L18" s="16">
        <f>IF(D18&gt;0, K18/D18, 0)</f>
      </c>
      <c r="M18" s="12">
        <f>K18-D18</f>
      </c>
      <c r="N18" s="17">
        <f>IF(L18&gt;=3.5,"SCALE BUDGET",IF(L18&gt;=2.2,"HOLD / OPTIMIZE","TRIM SPEND"))</f>
      </c>
    </row>
    <row r="19" ht="20" customHeight="1" spans="1:14" x14ac:dyDescent="0.25">
      <c r="A19" s="18" t="s">
        <v>52</v>
      </c>
      <c r="B19" s="19" t="s">
        <v>53</v>
      </c>
      <c r="C19" s="19" t="s">
        <v>54</v>
      </c>
      <c r="D19" s="20">
        <v>6800</v>
      </c>
      <c r="E19" s="21">
        <v>610000</v>
      </c>
      <c r="F19" s="21">
        <v>8200</v>
      </c>
      <c r="G19" s="22">
        <f>IF(E19&gt;0, F19/E19, 0)</f>
      </c>
      <c r="H19" s="23">
        <f>IF(F19&gt;0, D19/F19, 0)</f>
      </c>
      <c r="I19" s="21">
        <v>110</v>
      </c>
      <c r="J19" s="23">
        <f>IF(I19&gt;0, D19/I19, 0)</f>
      </c>
      <c r="K19" s="20">
        <v>13200</v>
      </c>
      <c r="L19" s="24">
        <f>IF(D19&gt;0, K19/D19, 0)</f>
      </c>
      <c r="M19" s="20">
        <f>K19-D19</f>
      </c>
      <c r="N19" s="25">
        <f>IF(L19&gt;=3.5,"SCALE BUDGET",IF(L19&gt;=2.2,"HOLD / OPTIMIZE","TRIM SPEND"))</f>
      </c>
    </row>
    <row r="20" ht="20" customHeight="1" spans="1:14" x14ac:dyDescent="0.25">
      <c r="A20" s="10" t="s">
        <v>55</v>
      </c>
      <c r="B20" s="11" t="s">
        <v>56</v>
      </c>
      <c r="C20" s="11" t="s">
        <v>57</v>
      </c>
      <c r="D20" s="12">
        <v>12400</v>
      </c>
      <c r="E20" s="13">
        <v>490000</v>
      </c>
      <c r="F20" s="13">
        <v>14500</v>
      </c>
      <c r="G20" s="14">
        <f>IF(E20&gt;0, F20/E20, 0)</f>
      </c>
      <c r="H20" s="15">
        <f>IF(F20&gt;0, D20/F20, 0)</f>
      </c>
      <c r="I20" s="13">
        <v>520</v>
      </c>
      <c r="J20" s="15">
        <f>IF(I20&gt;0, D20/I20, 0)</f>
      </c>
      <c r="K20" s="12">
        <v>67600</v>
      </c>
      <c r="L20" s="16">
        <f>IF(D20&gt;0, K20/D20, 0)</f>
      </c>
      <c r="M20" s="12">
        <f>K20-D20</f>
      </c>
      <c r="N20" s="17">
        <f>IF(L20&gt;=3.5,"SCALE BUDGET",IF(L20&gt;=2.2,"HOLD / OPTIMIZE","TRIM SPEND"))</f>
      </c>
    </row>
    <row r="21" ht="20" customHeight="1" spans="1:14" x14ac:dyDescent="0.25">
      <c r="A21" s="18" t="s">
        <v>58</v>
      </c>
      <c r="B21" s="19" t="s">
        <v>59</v>
      </c>
      <c r="C21" s="19" t="s">
        <v>60</v>
      </c>
      <c r="D21" s="20">
        <v>4200</v>
      </c>
      <c r="E21" s="21">
        <v>195000</v>
      </c>
      <c r="F21" s="21">
        <v>15200</v>
      </c>
      <c r="G21" s="22">
        <f>IF(E21&gt;0, F21/E21, 0)</f>
      </c>
      <c r="H21" s="23">
        <f>IF(F21&gt;0, D21/F21, 0)</f>
      </c>
      <c r="I21" s="21">
        <v>690</v>
      </c>
      <c r="J21" s="23">
        <f>IF(I21&gt;0, D21/I21, 0)</f>
      </c>
      <c r="K21" s="20">
        <v>82800</v>
      </c>
      <c r="L21" s="24">
        <f>IF(D21&gt;0, K21/D21, 0)</f>
      </c>
      <c r="M21" s="20">
        <f>K21-D21</f>
      </c>
      <c r="N21" s="25">
        <f>IF(L21&gt;=3.5,"SCALE BUDGET",IF(L21&gt;=2.2,"HOLD / OPTIMIZE","TRIM SPEND"))</f>
      </c>
    </row>
    <row r="22" ht="24" customHeight="1" spans="1:14" x14ac:dyDescent="0.25">
      <c r="A22" s="26" t="s">
        <v>61</v>
      </c>
      <c r="B22" s="26"/>
      <c r="C22" s="26"/>
      <c r="D22" s="27">
        <f>SUM(D8:D21)</f>
      </c>
      <c r="E22" s="28">
        <f>SUM(E8:E21)</f>
      </c>
      <c r="F22" s="28">
        <f>SUM(F8:F21)</f>
      </c>
      <c r="G22" s="29">
        <f>IF(E22&gt;0, F22/E22, 0)</f>
      </c>
      <c r="H22" s="30">
        <f>IF(F22&gt;0, D22/F22, 0)</f>
      </c>
      <c r="I22" s="28">
        <f>SUM(I8:I21)</f>
      </c>
      <c r="J22" s="30">
        <f>IF(I22&gt;0, D22/I22, 0)</f>
      </c>
      <c r="K22" s="27">
        <f>SUM(K8:K21)</f>
      </c>
      <c r="L22" s="31">
        <f>IF(D22&gt;0, K22/D22, 0)</f>
      </c>
      <c r="M22" s="27">
        <f>SUM(M8:M21)</f>
      </c>
      <c r="N22" s="26">
        <f>IF(L22&gt;=3,"HIGH ROI","MONITOR")</f>
      </c>
    </row>
  </sheetData>
  <mergeCells count="12">
    <mergeCell ref="A1:N1"/>
    <mergeCell ref="A2:N2"/>
    <mergeCell ref="A4:C4"/>
    <mergeCell ref="D4:F4"/>
    <mergeCell ref="G4:I4"/>
    <mergeCell ref="J4:L4"/>
    <mergeCell ref="M4:N4"/>
    <mergeCell ref="A5:C5"/>
    <mergeCell ref="D5:F5"/>
    <mergeCell ref="G5:I5"/>
    <mergeCell ref="J5:L5"/>
    <mergeCell ref="M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Multi-Channel ROI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2026-10-16T12:24:49Z</dcterms:created>
  <dcterms:modified xsi:type="dcterms:W3CDTF">2026-10-16T12:24:49Z</dcterms:modified>
</cp:coreProperties>
</file>
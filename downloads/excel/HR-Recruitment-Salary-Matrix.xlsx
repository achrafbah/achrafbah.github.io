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nsation &amp; Hiring Matrix" state="visible" r:id="rId4"/>
  </sheets>
  <calcPr calcId="171027"/>
</workbook>
</file>

<file path=xl/sharedStrings.xml><?xml version="1.0" encoding="utf-8"?>
<sst xmlns="http://schemas.openxmlformats.org/spreadsheetml/2006/main" count="91" uniqueCount="65">
  <si>
    <t>HR RECRUITMENT PIPELINE, DEPARTMENT HEADCOUNT &amp; COMPENSATION BAND MATRIX</t>
  </si>
  <si>
    <t>Role Leveling, Compa-Ratio Benchmarking, Total Rewards Cost &amp; Hiring Pipeline Status</t>
  </si>
  <si>
    <t>TOTAL ANNUAL BASE PAYROLL</t>
  </si>
  <si>
    <t>TOTAL LOADED EMPLOYER COST</t>
  </si>
  <si>
    <t>AVG COMPA-RATIO %</t>
  </si>
  <si>
    <t>ACTIVE OPEN REQS</t>
  </si>
  <si>
    <t>FILLED POSITIONS</t>
  </si>
  <si>
    <t>Req ID</t>
  </si>
  <si>
    <t>Department</t>
  </si>
  <si>
    <t>Role Title</t>
  </si>
  <si>
    <t>Level</t>
  </si>
  <si>
    <t>Band Min ($)</t>
  </si>
  <si>
    <t>Band Midpoint ($)</t>
  </si>
  <si>
    <t>Band Max ($)</t>
  </si>
  <si>
    <t>Proposed / Actual Base ($)</t>
  </si>
  <si>
    <t>Compa-Ratio %</t>
  </si>
  <si>
    <t>Target Bonus ($)</t>
  </si>
  <si>
    <t>Total Loaded Cost (+22% Tax/Ben)</t>
  </si>
  <si>
    <t>Pipeline Stage</t>
  </si>
  <si>
    <t>Band Alignment</t>
  </si>
  <si>
    <t>REQ-401</t>
  </si>
  <si>
    <t>Engineering</t>
  </si>
  <si>
    <t>Staff Backend Engineer</t>
  </si>
  <si>
    <t>L6</t>
  </si>
  <si>
    <t>Hired / Filled</t>
  </si>
  <si>
    <t>REQ-402</t>
  </si>
  <si>
    <t>Senior Frontend Engineer</t>
  </si>
  <si>
    <t>L5</t>
  </si>
  <si>
    <t>REQ-403</t>
  </si>
  <si>
    <t>DevOps &amp; Cloud Architect</t>
  </si>
  <si>
    <t>Offer Extended</t>
  </si>
  <si>
    <t>REQ-404</t>
  </si>
  <si>
    <t>Product</t>
  </si>
  <si>
    <t>Director of Product Management</t>
  </si>
  <si>
    <t>D1</t>
  </si>
  <si>
    <t>REQ-405</t>
  </si>
  <si>
    <t>Senior Product Designer (UX)</t>
  </si>
  <si>
    <t>Interviewing</t>
  </si>
  <si>
    <t>REQ-406</t>
  </si>
  <si>
    <t>Data &amp; AI</t>
  </si>
  <si>
    <t>Lead Machine Learning Scientist</t>
  </si>
  <si>
    <t>REQ-407</t>
  </si>
  <si>
    <t>Analytics Engineer (dbt/Snowflake)</t>
  </si>
  <si>
    <t>L4</t>
  </si>
  <si>
    <t>REQ-408</t>
  </si>
  <si>
    <t>Sales &amp; GTM</t>
  </si>
  <si>
    <t>Enterprise Account Executive</t>
  </si>
  <si>
    <t>REQ-409</t>
  </si>
  <si>
    <t>Solutions Engineering Manager</t>
  </si>
  <si>
    <t>M1</t>
  </si>
  <si>
    <t>REQ-410</t>
  </si>
  <si>
    <t>Marketing</t>
  </si>
  <si>
    <t>Head of Growth &amp; Performance</t>
  </si>
  <si>
    <t>REQ-411</t>
  </si>
  <si>
    <t>Product Marketing Manager</t>
  </si>
  <si>
    <t>REQ-412</t>
  </si>
  <si>
    <t>Customer Success</t>
  </si>
  <si>
    <t>Enterprise CS Manager</t>
  </si>
  <si>
    <t>REQ-413</t>
  </si>
  <si>
    <t>Finance &amp; Ops</t>
  </si>
  <si>
    <t>FP&amp;A Senior Manager</t>
  </si>
  <si>
    <t>REQ-414</t>
  </si>
  <si>
    <t>People &amp; Talent</t>
  </si>
  <si>
    <t>Senior Technical Recruiter</t>
  </si>
  <si>
    <t>HEADCOUNT TOTAL /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</si>
</sst>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%"/>
  </numFmts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E2E8F0"/>
      <sz val="10"/>
      <name val="Segoe UI"/>
    </font>
    <font>
      <b/>
      <color rgb="FF475569"/>
      <sz val="8"/>
      <name val="Segoe UI"/>
    </font>
    <font>
      <b/>
      <color rgb="FF0D9488"/>
      <sz val="13"/>
      <name val="Segoe UI"/>
    </font>
    <font>
      <b/>
      <color rgb="FF0F172A"/>
      <sz val="13"/>
      <name val="Segoe UI"/>
    </font>
    <font>
      <b/>
      <color rgb="FF2563EB"/>
      <sz val="13"/>
      <name val="Segoe UI"/>
    </font>
    <font>
      <b/>
      <color rgb="FFD97706"/>
      <sz val="13"/>
      <name val="Segoe UI"/>
    </font>
    <font>
      <b/>
      <color rgb="FF059669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0D9488"/>
      <sz val="9"/>
      <name val="Segoe UI"/>
    </font>
    <font>
      <b/>
      <color rgb="FF0F172A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164" fontId="10" fillId="5" borderId="3" xfId="0" applyNumberFormat="1" applyFont="1" applyFill="1" applyBorder="1" applyAlignment="1">
      <alignment horizontal="right" vertical="center"/>
    </xf>
    <xf numFmtId="165" fontId="10" fillId="5" borderId="3" xfId="0" applyNumberFormat="1" applyFont="1" applyFill="1" applyBorder="1" applyAlignment="1">
      <alignment horizontal="right" vertical="center"/>
    </xf>
    <xf numFmtId="0" fontId="11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164" fontId="10" fillId="6" borderId="3" xfId="0" applyNumberFormat="1" applyFont="1" applyFill="1" applyBorder="1" applyAlignment="1">
      <alignment horizontal="right" vertical="center"/>
    </xf>
    <xf numFmtId="165" fontId="10" fillId="6" borderId="3" xfId="0" applyNumberFormat="1" applyFont="1" applyFill="1" applyBorder="1" applyAlignment="1">
      <alignment horizontal="right" vertical="center"/>
    </xf>
    <xf numFmtId="0" fontId="11" fillId="6" borderId="3" xfId="0" applyFont="1" applyFill="1" applyBorder="1" applyAlignment="1">
      <alignment horizontal="center" vertical="center"/>
    </xf>
    <xf numFmtId="0" fontId="12" fillId="4" borderId="4" xfId="0" applyFont="1" applyFill="1" applyBorder="1"/>
    <xf numFmtId="164" fontId="12" fillId="4" borderId="4" xfId="0" applyNumberFormat="1" applyFont="1" applyFill="1" applyBorder="1"/>
    <xf numFmtId="165" fontId="12" fillId="4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34" customWidth="1"/>
    <col min="4" max="4" width="13" customWidth="1"/>
    <col min="5" max="5" width="16" customWidth="1"/>
    <col min="6" max="6" width="21" customWidth="1"/>
    <col min="7" max="7" width="16" customWidth="1"/>
    <col min="8" max="8" width="30" customWidth="1"/>
    <col min="9" max="9" width="17" customWidth="1"/>
    <col min="10" max="10" width="20" customWidth="1"/>
    <col min="11" max="11" width="34" customWidth="1"/>
    <col min="12" max="13" width="18" customWidth="1"/>
  </cols>
  <sheetData>
    <row r="1" ht="3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0" customHeight="1" x14ac:dyDescent="0.25"/>
    <row r="4" ht="18" customHeight="1" spans="1:13" x14ac:dyDescent="0.25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 t="s">
        <v>6</v>
      </c>
      <c r="M4" s="3"/>
    </row>
    <row r="5" ht="28" customHeight="1" spans="1:13" x14ac:dyDescent="0.25">
      <c r="A5" s="4">
        <f>SUM(H8:H21)</f>
      </c>
      <c r="B5" s="4"/>
      <c r="C5" s="4"/>
      <c r="D5" s="5">
        <f>SUM(K8:K21)</f>
      </c>
      <c r="E5" s="5"/>
      <c r="F5" s="5"/>
      <c r="G5" s="6">
        <f>AVERAGE(I8:I21)</f>
      </c>
      <c r="H5" s="6"/>
      <c r="I5" s="6"/>
      <c r="J5" s="7">
        <f>COUNTIF(L8:L21,"Interviewing")+COUNTIF(L8:L21,"Offer Extended")</f>
      </c>
      <c r="K5" s="7"/>
      <c r="L5" s="8">
        <f>COUNTIF(L8:L21,"Hired / Filled")</f>
      </c>
      <c r="M5" s="8"/>
    </row>
    <row r="6" ht="10" customHeight="1" x14ac:dyDescent="0.25"/>
    <row r="7" ht="26" customHeight="1" spans="1:13" x14ac:dyDescent="0.25">
      <c r="A7" s="9" t="s">
        <v>7</v>
      </c>
      <c r="B7" s="9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  <c r="H7" s="10" t="s">
        <v>14</v>
      </c>
      <c r="I7" s="10" t="s">
        <v>15</v>
      </c>
      <c r="J7" s="10" t="s">
        <v>16</v>
      </c>
      <c r="K7" s="10" t="s">
        <v>17</v>
      </c>
      <c r="L7" s="10" t="s">
        <v>18</v>
      </c>
      <c r="M7" s="10" t="s">
        <v>19</v>
      </c>
    </row>
    <row r="8" ht="20" customHeight="1" spans="1:13" x14ac:dyDescent="0.25">
      <c r="A8" s="11" t="s">
        <v>20</v>
      </c>
      <c r="B8" s="12" t="s">
        <v>21</v>
      </c>
      <c r="C8" s="12" t="s">
        <v>22</v>
      </c>
      <c r="D8" s="11" t="s">
        <v>23</v>
      </c>
      <c r="E8" s="13">
        <v>165000</v>
      </c>
      <c r="F8" s="13">
        <v>185000</v>
      </c>
      <c r="G8" s="13">
        <v>205000</v>
      </c>
      <c r="H8" s="13">
        <v>188000</v>
      </c>
      <c r="I8" s="14">
        <f>IF(F8&gt;0, H8/F8, 0)</f>
      </c>
      <c r="J8" s="13">
        <f>ROUND(H8*0.15, 0)</f>
      </c>
      <c r="K8" s="13">
        <f>ROUND((H8+J8)*1.22, 0)</f>
      </c>
      <c r="L8" s="11" t="s">
        <v>24</v>
      </c>
      <c r="M8" s="15">
        <f>IF(H8&gt;G8,"Above Band",IF(H8&lt;E8,"Below Band","In Band"))</f>
      </c>
    </row>
    <row r="9" ht="20" customHeight="1" spans="1:13" x14ac:dyDescent="0.25">
      <c r="A9" s="16" t="s">
        <v>25</v>
      </c>
      <c r="B9" s="17" t="s">
        <v>21</v>
      </c>
      <c r="C9" s="17" t="s">
        <v>26</v>
      </c>
      <c r="D9" s="16" t="s">
        <v>27</v>
      </c>
      <c r="E9" s="18">
        <v>140000</v>
      </c>
      <c r="F9" s="18">
        <v>158000</v>
      </c>
      <c r="G9" s="18">
        <v>176000</v>
      </c>
      <c r="H9" s="18">
        <v>155000</v>
      </c>
      <c r="I9" s="19">
        <f>IF(F9&gt;0, H9/F9, 0)</f>
      </c>
      <c r="J9" s="18">
        <f>ROUND(H9*0.12, 0)</f>
      </c>
      <c r="K9" s="18">
        <f>ROUND((H9+J9)*1.22, 0)</f>
      </c>
      <c r="L9" s="16" t="s">
        <v>24</v>
      </c>
      <c r="M9" s="20">
        <f>IF(H9&gt;G9,"Above Band",IF(H9&lt;E9,"Below Band","In Band"))</f>
      </c>
    </row>
    <row r="10" ht="20" customHeight="1" spans="1:13" x14ac:dyDescent="0.25">
      <c r="A10" s="11" t="s">
        <v>28</v>
      </c>
      <c r="B10" s="12" t="s">
        <v>21</v>
      </c>
      <c r="C10" s="12" t="s">
        <v>29</v>
      </c>
      <c r="D10" s="11" t="s">
        <v>27</v>
      </c>
      <c r="E10" s="13">
        <v>145000</v>
      </c>
      <c r="F10" s="13">
        <v>162000</v>
      </c>
      <c r="G10" s="13">
        <v>180000</v>
      </c>
      <c r="H10" s="13">
        <v>168000</v>
      </c>
      <c r="I10" s="14">
        <f>IF(F10&gt;0, H10/F10, 0)</f>
      </c>
      <c r="J10" s="13">
        <f>ROUND(H10*0.12, 0)</f>
      </c>
      <c r="K10" s="13">
        <f>ROUND((H10+J10)*1.22, 0)</f>
      </c>
      <c r="L10" s="11" t="s">
        <v>30</v>
      </c>
      <c r="M10" s="15">
        <f>IF(H10&gt;G10,"Above Band",IF(H10&lt;E10,"Below Band","In Band"))</f>
      </c>
    </row>
    <row r="11" ht="20" customHeight="1" spans="1:13" x14ac:dyDescent="0.25">
      <c r="A11" s="16" t="s">
        <v>31</v>
      </c>
      <c r="B11" s="17" t="s">
        <v>32</v>
      </c>
      <c r="C11" s="17" t="s">
        <v>33</v>
      </c>
      <c r="D11" s="16" t="s">
        <v>34</v>
      </c>
      <c r="E11" s="18">
        <v>180000</v>
      </c>
      <c r="F11" s="18">
        <v>200000</v>
      </c>
      <c r="G11" s="18">
        <v>225000</v>
      </c>
      <c r="H11" s="18">
        <v>205000</v>
      </c>
      <c r="I11" s="19">
        <f>IF(F11&gt;0, H11/F11, 0)</f>
      </c>
      <c r="J11" s="18">
        <f>ROUND(H11*0.2, 0)</f>
      </c>
      <c r="K11" s="18">
        <f>ROUND((H11+J11)*1.22, 0)</f>
      </c>
      <c r="L11" s="16" t="s">
        <v>24</v>
      </c>
      <c r="M11" s="20">
        <f>IF(H11&gt;G11,"Above Band",IF(H11&lt;E11,"Below Band","In Band"))</f>
      </c>
    </row>
    <row r="12" ht="20" customHeight="1" spans="1:13" x14ac:dyDescent="0.25">
      <c r="A12" s="11" t="s">
        <v>35</v>
      </c>
      <c r="B12" s="12" t="s">
        <v>32</v>
      </c>
      <c r="C12" s="12" t="s">
        <v>36</v>
      </c>
      <c r="D12" s="11" t="s">
        <v>27</v>
      </c>
      <c r="E12" s="13">
        <v>130000</v>
      </c>
      <c r="F12" s="13">
        <v>145000</v>
      </c>
      <c r="G12" s="13">
        <v>160000</v>
      </c>
      <c r="H12" s="13">
        <v>142000</v>
      </c>
      <c r="I12" s="14">
        <f>IF(F12&gt;0, H12/F12, 0)</f>
      </c>
      <c r="J12" s="13">
        <f>ROUND(H12*0.1, 0)</f>
      </c>
      <c r="K12" s="13">
        <f>ROUND((H12+J12)*1.22, 0)</f>
      </c>
      <c r="L12" s="11" t="s">
        <v>37</v>
      </c>
      <c r="M12" s="15">
        <f>IF(H12&gt;G12,"Above Band",IF(H12&lt;E12,"Below Band","In Band"))</f>
      </c>
    </row>
    <row r="13" ht="20" customHeight="1" spans="1:13" x14ac:dyDescent="0.25">
      <c r="A13" s="16" t="s">
        <v>38</v>
      </c>
      <c r="B13" s="17" t="s">
        <v>39</v>
      </c>
      <c r="C13" s="17" t="s">
        <v>40</v>
      </c>
      <c r="D13" s="16" t="s">
        <v>23</v>
      </c>
      <c r="E13" s="18">
        <v>175000</v>
      </c>
      <c r="F13" s="18">
        <v>195000</v>
      </c>
      <c r="G13" s="18">
        <v>220000</v>
      </c>
      <c r="H13" s="18">
        <v>202000</v>
      </c>
      <c r="I13" s="19">
        <f>IF(F13&gt;0, H13/F13, 0)</f>
      </c>
      <c r="J13" s="18">
        <f>ROUND(H13*0.15, 0)</f>
      </c>
      <c r="K13" s="18">
        <f>ROUND((H13+J13)*1.22, 0)</f>
      </c>
      <c r="L13" s="16" t="s">
        <v>30</v>
      </c>
      <c r="M13" s="20">
        <f>IF(H13&gt;G13,"Above Band",IF(H13&lt;E13,"Below Band","In Band"))</f>
      </c>
    </row>
    <row r="14" ht="20" customHeight="1" spans="1:13" x14ac:dyDescent="0.25">
      <c r="A14" s="11" t="s">
        <v>41</v>
      </c>
      <c r="B14" s="12" t="s">
        <v>39</v>
      </c>
      <c r="C14" s="12" t="s">
        <v>42</v>
      </c>
      <c r="D14" s="11" t="s">
        <v>43</v>
      </c>
      <c r="E14" s="13">
        <v>115000</v>
      </c>
      <c r="F14" s="13">
        <v>128000</v>
      </c>
      <c r="G14" s="13">
        <v>142000</v>
      </c>
      <c r="H14" s="13">
        <v>126000</v>
      </c>
      <c r="I14" s="14">
        <f>IF(F14&gt;0, H14/F14, 0)</f>
      </c>
      <c r="J14" s="13">
        <f>ROUND(H14*0.1, 0)</f>
      </c>
      <c r="K14" s="13">
        <f>ROUND((H14+J14)*1.22, 0)</f>
      </c>
      <c r="L14" s="11" t="s">
        <v>24</v>
      </c>
      <c r="M14" s="15">
        <f>IF(H14&gt;G14,"Above Band",IF(H14&lt;E14,"Below Band","In Band"))</f>
      </c>
    </row>
    <row r="15" ht="20" customHeight="1" spans="1:13" x14ac:dyDescent="0.25">
      <c r="A15" s="16" t="s">
        <v>44</v>
      </c>
      <c r="B15" s="17" t="s">
        <v>45</v>
      </c>
      <c r="C15" s="17" t="s">
        <v>46</v>
      </c>
      <c r="D15" s="16" t="s">
        <v>27</v>
      </c>
      <c r="E15" s="18">
        <v>120000</v>
      </c>
      <c r="F15" s="18">
        <v>135000</v>
      </c>
      <c r="G15" s="18">
        <v>150000</v>
      </c>
      <c r="H15" s="18">
        <v>135000</v>
      </c>
      <c r="I15" s="19">
        <f>IF(F15&gt;0, H15/F15, 0)</f>
      </c>
      <c r="J15" s="18">
        <f>ROUND(H15*0.5, 0)</f>
      </c>
      <c r="K15" s="18">
        <f>ROUND((H15+J15)*1.22, 0)</f>
      </c>
      <c r="L15" s="16" t="s">
        <v>24</v>
      </c>
      <c r="M15" s="20">
        <f>IF(H15&gt;G15,"Above Band",IF(H15&lt;E15,"Below Band","In Band"))</f>
      </c>
    </row>
    <row r="16" ht="20" customHeight="1" spans="1:13" x14ac:dyDescent="0.25">
      <c r="A16" s="11" t="s">
        <v>47</v>
      </c>
      <c r="B16" s="12" t="s">
        <v>45</v>
      </c>
      <c r="C16" s="12" t="s">
        <v>48</v>
      </c>
      <c r="D16" s="11" t="s">
        <v>49</v>
      </c>
      <c r="E16" s="13">
        <v>145000</v>
      </c>
      <c r="F16" s="13">
        <v>160000</v>
      </c>
      <c r="G16" s="13">
        <v>175000</v>
      </c>
      <c r="H16" s="13">
        <v>158000</v>
      </c>
      <c r="I16" s="14">
        <f>IF(F16&gt;0, H16/F16, 0)</f>
      </c>
      <c r="J16" s="13">
        <f>ROUND(H16*0.2, 0)</f>
      </c>
      <c r="K16" s="13">
        <f>ROUND((H16+J16)*1.22, 0)</f>
      </c>
      <c r="L16" s="11" t="s">
        <v>37</v>
      </c>
      <c r="M16" s="15">
        <f>IF(H16&gt;G16,"Above Band",IF(H16&lt;E16,"Below Band","In Band"))</f>
      </c>
    </row>
    <row r="17" ht="20" customHeight="1" spans="1:13" x14ac:dyDescent="0.25">
      <c r="A17" s="16" t="s">
        <v>50</v>
      </c>
      <c r="B17" s="17" t="s">
        <v>51</v>
      </c>
      <c r="C17" s="17" t="s">
        <v>52</v>
      </c>
      <c r="D17" s="16" t="s">
        <v>34</v>
      </c>
      <c r="E17" s="18">
        <v>160000</v>
      </c>
      <c r="F17" s="18">
        <v>178000</v>
      </c>
      <c r="G17" s="18">
        <v>195000</v>
      </c>
      <c r="H17" s="18">
        <v>176000</v>
      </c>
      <c r="I17" s="19">
        <f>IF(F17&gt;0, H17/F17, 0)</f>
      </c>
      <c r="J17" s="18">
        <f>ROUND(H17*0.18, 0)</f>
      </c>
      <c r="K17" s="18">
        <f>ROUND((H17+J17)*1.22, 0)</f>
      </c>
      <c r="L17" s="16" t="s">
        <v>24</v>
      </c>
      <c r="M17" s="20">
        <f>IF(H17&gt;G17,"Above Band",IF(H17&lt;E17,"Below Band","In Band"))</f>
      </c>
    </row>
    <row r="18" ht="20" customHeight="1" spans="1:13" x14ac:dyDescent="0.25">
      <c r="A18" s="11" t="s">
        <v>53</v>
      </c>
      <c r="B18" s="12" t="s">
        <v>51</v>
      </c>
      <c r="C18" s="12" t="s">
        <v>54</v>
      </c>
      <c r="D18" s="11" t="s">
        <v>43</v>
      </c>
      <c r="E18" s="13">
        <v>110000</v>
      </c>
      <c r="F18" s="13">
        <v>122000</v>
      </c>
      <c r="G18" s="13">
        <v>135000</v>
      </c>
      <c r="H18" s="13">
        <v>119000</v>
      </c>
      <c r="I18" s="14">
        <f>IF(F18&gt;0, H18/F18, 0)</f>
      </c>
      <c r="J18" s="13">
        <f>ROUND(H18*0.1, 0)</f>
      </c>
      <c r="K18" s="13">
        <f>ROUND((H18+J18)*1.22, 0)</f>
      </c>
      <c r="L18" s="11" t="s">
        <v>37</v>
      </c>
      <c r="M18" s="15">
        <f>IF(H18&gt;G18,"Above Band",IF(H18&lt;E18,"Below Band","In Band"))</f>
      </c>
    </row>
    <row r="19" ht="20" customHeight="1" spans="1:13" x14ac:dyDescent="0.25">
      <c r="A19" s="16" t="s">
        <v>55</v>
      </c>
      <c r="B19" s="17" t="s">
        <v>56</v>
      </c>
      <c r="C19" s="17" t="s">
        <v>57</v>
      </c>
      <c r="D19" s="16" t="s">
        <v>43</v>
      </c>
      <c r="E19" s="18">
        <v>98000</v>
      </c>
      <c r="F19" s="18">
        <v>110000</v>
      </c>
      <c r="G19" s="18">
        <v>122000</v>
      </c>
      <c r="H19" s="18">
        <v>108000</v>
      </c>
      <c r="I19" s="19">
        <f>IF(F19&gt;0, H19/F19, 0)</f>
      </c>
      <c r="J19" s="18">
        <f>ROUND(H19*0.12, 0)</f>
      </c>
      <c r="K19" s="18">
        <f>ROUND((H19+J19)*1.22, 0)</f>
      </c>
      <c r="L19" s="16" t="s">
        <v>24</v>
      </c>
      <c r="M19" s="20">
        <f>IF(H19&gt;G19,"Above Band",IF(H19&lt;E19,"Below Band","In Band"))</f>
      </c>
    </row>
    <row r="20" ht="20" customHeight="1" spans="1:13" x14ac:dyDescent="0.25">
      <c r="A20" s="11" t="s">
        <v>58</v>
      </c>
      <c r="B20" s="12" t="s">
        <v>59</v>
      </c>
      <c r="C20" s="12" t="s">
        <v>60</v>
      </c>
      <c r="D20" s="11" t="s">
        <v>49</v>
      </c>
      <c r="E20" s="13">
        <v>135000</v>
      </c>
      <c r="F20" s="13">
        <v>150000</v>
      </c>
      <c r="G20" s="13">
        <v>165000</v>
      </c>
      <c r="H20" s="13">
        <v>152000</v>
      </c>
      <c r="I20" s="14">
        <f>IF(F20&gt;0, H20/F20, 0)</f>
      </c>
      <c r="J20" s="13">
        <f>ROUND(H20*0.15, 0)</f>
      </c>
      <c r="K20" s="13">
        <f>ROUND((H20+J20)*1.22, 0)</f>
      </c>
      <c r="L20" s="11" t="s">
        <v>24</v>
      </c>
      <c r="M20" s="15">
        <f>IF(H20&gt;G20,"Above Band",IF(H20&lt;E20,"Below Band","In Band"))</f>
      </c>
    </row>
    <row r="21" ht="20" customHeight="1" spans="1:13" x14ac:dyDescent="0.25">
      <c r="A21" s="16" t="s">
        <v>61</v>
      </c>
      <c r="B21" s="17" t="s">
        <v>62</v>
      </c>
      <c r="C21" s="17" t="s">
        <v>63</v>
      </c>
      <c r="D21" s="16" t="s">
        <v>43</v>
      </c>
      <c r="E21" s="18">
        <v>95000</v>
      </c>
      <c r="F21" s="18">
        <v>108000</v>
      </c>
      <c r="G21" s="18">
        <v>120000</v>
      </c>
      <c r="H21" s="18">
        <v>106000</v>
      </c>
      <c r="I21" s="19">
        <f>IF(F21&gt;0, H21/F21, 0)</f>
      </c>
      <c r="J21" s="18">
        <f>ROUND(H21*0.1, 0)</f>
      </c>
      <c r="K21" s="18">
        <f>ROUND((H21+J21)*1.22, 0)</f>
      </c>
      <c r="L21" s="16" t="s">
        <v>24</v>
      </c>
      <c r="M21" s="20">
        <f>IF(H21&gt;G21,"Above Band",IF(H21&lt;E21,"Below Band","In Band"))</f>
      </c>
    </row>
    <row r="22" ht="24" customHeight="1" spans="1:13" x14ac:dyDescent="0.25">
      <c r="A22" s="21" t="s">
        <v>64</v>
      </c>
      <c r="B22" s="21"/>
      <c r="C22" s="21"/>
      <c r="D22" s="21"/>
      <c r="E22" s="22">
        <f>AVERAGE(E8:E21)</f>
      </c>
      <c r="F22" s="22">
        <f>AVERAGE(F8:F21)</f>
      </c>
      <c r="G22" s="22">
        <f>AVERAGE(G8:G21)</f>
      </c>
      <c r="H22" s="22">
        <f>SUM(H8:H21)</f>
      </c>
      <c r="I22" s="23">
        <f>AVERAGE(I8:I21)</f>
      </c>
      <c r="J22" s="22">
        <f>SUM(J8:J21)</f>
      </c>
      <c r="K22" s="22">
        <f>SUM(K8:K21)</f>
      </c>
      <c r="L22" s="21">
        <f>COUNTIF(L8:L21,"Hired / Filled")&amp;" Filled"</f>
      </c>
      <c r="M22" s="21">
        <f>IF(AVERAGE(I8:I21)&lt;=1.05,"BAND COMPLIANT","REVIEW EQUITY")</f>
      </c>
    </row>
  </sheetData>
  <mergeCells count="12">
    <mergeCell ref="A1:M1"/>
    <mergeCell ref="A2:M2"/>
    <mergeCell ref="A4:C4"/>
    <mergeCell ref="D4:F4"/>
    <mergeCell ref="G4:I4"/>
    <mergeCell ref="J4:K4"/>
    <mergeCell ref="L4:M4"/>
    <mergeCell ref="A5:C5"/>
    <mergeCell ref="D5:F5"/>
    <mergeCell ref="G5:I5"/>
    <mergeCell ref="J5:K5"/>
    <mergeCell ref="L5:M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Compensation &amp; Hiring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2026-10-16T12:24:49Z</dcterms:created>
  <dcterms:modified xsi:type="dcterms:W3CDTF">2026-10-16T12:24:49Z</dcterms:modified>
</cp:coreProperties>
</file>